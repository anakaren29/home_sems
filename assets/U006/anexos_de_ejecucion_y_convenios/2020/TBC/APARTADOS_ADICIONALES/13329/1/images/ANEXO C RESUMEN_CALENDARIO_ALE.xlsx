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auTiti\Desktop\"/>
    </mc:Choice>
  </mc:AlternateContent>
  <xr:revisionPtr revIDLastSave="0" documentId="13_ncr:1_{91CA4B07-D942-4421-BD39-5830F164D7D4}" xr6:coauthVersionLast="45" xr6:coauthVersionMax="45" xr10:uidLastSave="{00000000-0000-0000-0000-000000000000}"/>
  <bookViews>
    <workbookView xWindow="-120" yWindow="-120" windowWidth="24240" windowHeight="13140" activeTab="2" xr2:uid="{00000000-000D-0000-FFFF-FFFF00000000}"/>
  </bookViews>
  <sheets>
    <sheet name="CIFRAS GLOBALES" sheetId="1" r:id="rId1"/>
    <sheet name="CALENDARIO" sheetId="3" r:id="rId2"/>
    <sheet name="IS" sheetId="4" r:id="rId3"/>
  </sheets>
  <definedNames>
    <definedName name="_xlnm._FilterDatabase" localSheetId="1" hidden="1">CALENDARIO!$A$1:$M$33</definedName>
    <definedName name="_xlnm.Print_Area" localSheetId="1">CALENDARIO!#REF!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M33" i="3"/>
  <c r="G34" i="1" l="1"/>
  <c r="F34" i="1"/>
  <c r="D34" i="1"/>
  <c r="C34" i="1"/>
  <c r="H33" i="1"/>
  <c r="B33" i="1" s="1"/>
  <c r="E33" i="1"/>
  <c r="H32" i="1"/>
  <c r="E32" i="1"/>
  <c r="H31" i="1"/>
  <c r="B31" i="1" s="1"/>
  <c r="E31" i="1"/>
  <c r="H30" i="1"/>
  <c r="E30" i="1"/>
  <c r="H29" i="1"/>
  <c r="B29" i="1" s="1"/>
  <c r="E29" i="1"/>
  <c r="H28" i="1"/>
  <c r="E28" i="1"/>
  <c r="H27" i="1"/>
  <c r="B27" i="1" s="1"/>
  <c r="E27" i="1"/>
  <c r="H26" i="1"/>
  <c r="E26" i="1"/>
  <c r="H25" i="1"/>
  <c r="B25" i="1" s="1"/>
  <c r="E25" i="1"/>
  <c r="H24" i="1"/>
  <c r="E24" i="1"/>
  <c r="H23" i="1"/>
  <c r="B23" i="1" s="1"/>
  <c r="E23" i="1"/>
  <c r="H22" i="1"/>
  <c r="E22" i="1"/>
  <c r="H21" i="1"/>
  <c r="B21" i="1" s="1"/>
  <c r="E21" i="1"/>
  <c r="H20" i="1"/>
  <c r="E20" i="1"/>
  <c r="H19" i="1"/>
  <c r="B19" i="1" s="1"/>
  <c r="E19" i="1"/>
  <c r="H18" i="1"/>
  <c r="E18" i="1"/>
  <c r="H17" i="1"/>
  <c r="B17" i="1" s="1"/>
  <c r="E17" i="1"/>
  <c r="H16" i="1"/>
  <c r="E16" i="1"/>
  <c r="H15" i="1"/>
  <c r="B15" i="1" s="1"/>
  <c r="E15" i="1"/>
  <c r="H14" i="1"/>
  <c r="E14" i="1"/>
  <c r="H13" i="1"/>
  <c r="B13" i="1" s="1"/>
  <c r="E13" i="1"/>
  <c r="H12" i="1"/>
  <c r="E12" i="1"/>
  <c r="H11" i="1"/>
  <c r="B11" i="1" s="1"/>
  <c r="E11" i="1"/>
  <c r="H10" i="1"/>
  <c r="E10" i="1"/>
  <c r="H9" i="1"/>
  <c r="B9" i="1" s="1"/>
  <c r="E9" i="1"/>
  <c r="H8" i="1"/>
  <c r="E8" i="1"/>
  <c r="H7" i="1"/>
  <c r="B7" i="1" s="1"/>
  <c r="E7" i="1"/>
  <c r="H6" i="1"/>
  <c r="E6" i="1"/>
  <c r="H5" i="1"/>
  <c r="B5" i="1" s="1"/>
  <c r="E5" i="1"/>
  <c r="H4" i="1"/>
  <c r="E4" i="1"/>
  <c r="H3" i="1"/>
  <c r="B3" i="1" s="1"/>
  <c r="E3" i="1"/>
  <c r="B4" i="1" l="1"/>
  <c r="B8" i="1"/>
  <c r="B10" i="1"/>
  <c r="B34" i="1" s="1"/>
  <c r="B14" i="1"/>
  <c r="B16" i="1"/>
  <c r="B20" i="1"/>
  <c r="B22" i="1"/>
  <c r="B24" i="1"/>
  <c r="B26" i="1"/>
  <c r="B28" i="1"/>
  <c r="B30" i="1"/>
  <c r="B32" i="1"/>
  <c r="B6" i="1"/>
  <c r="B12" i="1"/>
  <c r="B18" i="1"/>
  <c r="E34" i="1"/>
  <c r="H34" i="1"/>
</calcChain>
</file>

<file path=xl/sharedStrings.xml><?xml version="1.0" encoding="utf-8"?>
<sst xmlns="http://schemas.openxmlformats.org/spreadsheetml/2006/main" count="123" uniqueCount="60">
  <si>
    <t>ESTADO</t>
  </si>
  <si>
    <t>COSTO GLOBAL TBC</t>
  </si>
  <si>
    <t>FEDERAL</t>
  </si>
  <si>
    <t>ESTATAL</t>
  </si>
  <si>
    <t>COSTO SP</t>
  </si>
  <si>
    <t>COSTO GO</t>
  </si>
  <si>
    <t>APORTACION FEDERAL</t>
  </si>
  <si>
    <t>APORTACION ESTATAL</t>
  </si>
  <si>
    <t>AGUASCALIENTES</t>
  </si>
  <si>
    <t xml:space="preserve">BAJA CALIFORNIA 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</si>
  <si>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</si>
  <si>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</si>
  <si>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</si>
  <si>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</si>
  <si>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</si>
  <si>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</si>
  <si>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</si>
  <si>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</si>
  <si>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</si>
  <si>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</si>
  <si>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</si>
  <si>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</si>
  <si>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</si>
  <si>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</si>
  <si>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</si>
  <si>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</si>
  <si>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</si>
  <si>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</si>
  <si>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</si>
  <si>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</si>
  <si>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</si>
  <si>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</si>
  <si>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</si>
  <si>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</si>
  <si>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</si>
  <si>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</si>
  <si>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</si>
  <si>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</si>
  <si>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</si>
  <si>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TOTAL</t>
  </si>
  <si>
    <t>Total general</t>
  </si>
  <si>
    <t>ENTIDAD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</si>
  <si>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</si>
  <si>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</si>
  <si>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</si>
  <si>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</si>
  <si>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</si>
  <si>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</si>
  <si>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</si>
  <si>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</si>
  <si>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</si>
  <si>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</si>
  <si>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</si>
  <si>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ANUAL</t>
  </si>
  <si>
    <t>.</t>
  </si>
  <si>
    <t>GTO</t>
  </si>
  <si>
    <t>Estados</t>
  </si>
  <si>
    <t>aportacion federal</t>
  </si>
  <si>
    <t>aportacion estatal</t>
  </si>
  <si>
    <t>total incremento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</si>
</sst>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7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43" fontId="2" fillId="2" borderId="5" xfId="1" applyFont="1" applyFill="1" applyBorder="1"/>
    <xf numFmtId="43" fontId="2" fillId="3" borderId="5" xfId="1" applyFont="1" applyFill="1" applyBorder="1"/>
    <xf numFmtId="43" fontId="2" fillId="3" borderId="6" xfId="1" applyFont="1" applyFill="1" applyBorder="1"/>
    <xf numFmtId="0" fontId="3" fillId="0" borderId="7" xfId="0" applyFont="1" applyFill="1" applyBorder="1"/>
    <xf numFmtId="43" fontId="3" fillId="0" borderId="5" xfId="1" applyFont="1" applyFill="1" applyBorder="1"/>
    <xf numFmtId="43" fontId="3" fillId="2" borderId="5" xfId="1" applyFont="1" applyFill="1" applyBorder="1"/>
    <xf numFmtId="43" fontId="3" fillId="3" borderId="5" xfId="1" applyFont="1" applyFill="1" applyBorder="1"/>
    <xf numFmtId="43" fontId="3" fillId="3" borderId="6" xfId="1" applyFont="1" applyFill="1" applyBorder="1"/>
    <xf numFmtId="43" fontId="3" fillId="2" borderId="0" xfId="1" applyFont="1" applyFill="1" applyBorder="1"/>
    <xf numFmtId="43" fontId="3" fillId="3" borderId="0" xfId="1" applyFont="1" applyFill="1" applyBorder="1"/>
    <xf numFmtId="0" fontId="3" fillId="0" borderId="8" xfId="0" applyFont="1" applyFill="1" applyBorder="1"/>
    <xf numFmtId="43" fontId="3" fillId="2" borderId="9" xfId="1" applyFont="1" applyFill="1" applyBorder="1"/>
    <xf numFmtId="43" fontId="3" fillId="3" borderId="9" xfId="1" applyFont="1" applyFill="1" applyBorder="1"/>
    <xf numFmtId="0" fontId="3" fillId="0" borderId="10" xfId="0" applyFont="1" applyFill="1" applyBorder="1"/>
    <xf numFmtId="43" fontId="3" fillId="0" borderId="11" xfId="1" applyFont="1" applyFill="1" applyBorder="1"/>
    <xf numFmtId="43" fontId="3" fillId="2" borderId="11" xfId="1" applyFont="1" applyFill="1" applyBorder="1"/>
    <xf numFmtId="43" fontId="3" fillId="3" borderId="11" xfId="1" applyFont="1" applyFill="1" applyBorder="1"/>
    <xf numFmtId="43" fontId="3" fillId="3" borderId="12" xfId="1" applyFont="1" applyFill="1" applyBorder="1"/>
    <xf numFmtId="43" fontId="0" fillId="0" borderId="2" xfId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0" fillId="0" borderId="15" xfId="1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16" xfId="1" applyFont="1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11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7" xfId="0" applyFill="1" applyBorder="1" applyAlignment="1">
      <alignment horizontal="center"/>
    </xf>
    <xf numFmtId="43" fontId="0" fillId="0" borderId="5" xfId="1" applyFont="1" applyFill="1" applyBorder="1" applyAlignment="1">
      <alignment horizontal="center"/>
    </xf>
    <xf numFmtId="43" fontId="0" fillId="0" borderId="15" xfId="1" applyFont="1" applyFill="1" applyBorder="1" applyAlignment="1">
      <alignment horizontal="center"/>
    </xf>
    <xf numFmtId="43" fontId="0" fillId="0" borderId="6" xfId="0" applyNumberFormat="1" applyFill="1" applyBorder="1" applyAlignment="1">
      <alignment horizontal="center"/>
    </xf>
    <xf numFmtId="4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5" fillId="4" borderId="19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13" xfId="0" applyFill="1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0" borderId="7" xfId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43" fontId="0" fillId="0" borderId="9" xfId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43" fontId="0" fillId="0" borderId="11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0" fillId="0" borderId="0" xfId="0" applyNumberForma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16" fontId="0" fillId="0" borderId="0" xfId="0" applyNumberFormat="1" applyFill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/>
    </xf>
    <xf numFmtId="43" fontId="2" fillId="3" borderId="2" xfId="1" applyFont="1" applyFill="1" applyBorder="1" applyAlignment="1">
      <alignment horizontal="center"/>
    </xf>
    <xf numFmtId="43" fontId="2" fillId="3" borderId="3" xfId="1" applyFont="1" applyFill="1" applyBorder="1" applyAlignment="1">
      <alignment horizontal="center"/>
    </xf>
    <xf numFmtId="43" fontId="0" fillId="0" borderId="5" xfId="1" applyFont="1" applyBorder="1"/>
    <xf numFmtId="43" fontId="6" fillId="0" borderId="5" xfId="1" applyFont="1" applyBorder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13" workbookViewId="0">
      <selection activeCell="H38" sqref="H38"/>
    </sheetView>
  </sheetViews>
  <sheetFormatPr baseColWidth="10" defaultRowHeight="15" x14ac:dyDescent="0.25"/>
  <cols>
    <col min="1" max="1" width="20.5703125" bestFit="1" customWidth="1"/>
    <col min="2" max="2" width="18.7109375" bestFit="1" customWidth="1"/>
    <col min="3" max="3" width="15.140625" bestFit="1" customWidth="1"/>
    <col min="4" max="4" width="14.140625" bestFit="1" customWidth="1"/>
    <col min="5" max="5" width="22.5703125" bestFit="1" customWidth="1"/>
    <col min="6" max="6" width="15.140625" bestFit="1" customWidth="1"/>
    <col min="7" max="7" width="14.140625" bestFit="1" customWidth="1"/>
    <col min="8" max="8" width="22.42578125" bestFit="1" customWidth="1"/>
  </cols>
  <sheetData>
    <row r="1" spans="1:8" x14ac:dyDescent="0.25">
      <c r="A1" s="54" t="s">
        <v>0</v>
      </c>
      <c r="B1" s="56" t="s">
        <v>1</v>
      </c>
      <c r="C1" s="58" t="s">
        <v>2</v>
      </c>
      <c r="D1" s="58"/>
      <c r="E1" s="58"/>
      <c r="F1" s="59" t="s">
        <v>3</v>
      </c>
      <c r="G1" s="59"/>
      <c r="H1" s="60"/>
    </row>
    <row r="2" spans="1:8" x14ac:dyDescent="0.25">
      <c r="A2" s="55"/>
      <c r="B2" s="57"/>
      <c r="C2" s="1" t="s">
        <v>4</v>
      </c>
      <c r="D2" s="1" t="s">
        <v>5</v>
      </c>
      <c r="E2" s="1" t="s">
        <v>6</v>
      </c>
      <c r="F2" s="2" t="s">
        <v>4</v>
      </c>
      <c r="G2" s="2" t="s">
        <v>5</v>
      </c>
      <c r="H2" s="3" t="s">
        <v>7</v>
      </c>
    </row>
    <row r="3" spans="1:8" x14ac:dyDescent="0.25">
      <c r="A3" s="4" t="s">
        <v>8</v>
      </c>
      <c r="B3" s="5">
        <f>+H3+E3</f>
        <v>61651200</v>
      </c>
      <c r="C3" s="6">
        <v>30045600</v>
      </c>
      <c r="D3" s="6">
        <v>780000</v>
      </c>
      <c r="E3" s="6">
        <f>C3+D3</f>
        <v>30825600</v>
      </c>
      <c r="F3" s="7">
        <v>30045600</v>
      </c>
      <c r="G3" s="7">
        <v>780000</v>
      </c>
      <c r="H3" s="8">
        <f>F3+G3</f>
        <v>30825600</v>
      </c>
    </row>
    <row r="4" spans="1:8" x14ac:dyDescent="0.25">
      <c r="A4" s="4" t="s">
        <v>9</v>
      </c>
      <c r="B4" s="5">
        <f t="shared" ref="B4:B32" si="0">+H4+E4</f>
        <v>10949760</v>
      </c>
      <c r="C4" s="6">
        <v>5354880</v>
      </c>
      <c r="D4" s="6">
        <v>120000</v>
      </c>
      <c r="E4" s="6">
        <f t="shared" ref="E4:E33" si="1">C4+D4</f>
        <v>5474880</v>
      </c>
      <c r="F4" s="7">
        <v>5354880</v>
      </c>
      <c r="G4" s="7">
        <v>120000</v>
      </c>
      <c r="H4" s="8">
        <f t="shared" ref="H4:H33" si="2">F4+G4</f>
        <v>5474880</v>
      </c>
    </row>
    <row r="5" spans="1:8" x14ac:dyDescent="0.25">
      <c r="A5" s="4" t="s">
        <v>10</v>
      </c>
      <c r="B5" s="5">
        <f t="shared" si="0"/>
        <v>37639800</v>
      </c>
      <c r="C5" s="6">
        <v>18407400</v>
      </c>
      <c r="D5" s="6">
        <v>412500</v>
      </c>
      <c r="E5" s="6">
        <f t="shared" si="1"/>
        <v>18819900</v>
      </c>
      <c r="F5" s="7">
        <v>18407400</v>
      </c>
      <c r="G5" s="7">
        <v>412500</v>
      </c>
      <c r="H5" s="8">
        <f t="shared" si="2"/>
        <v>18819900</v>
      </c>
    </row>
    <row r="6" spans="1:8" x14ac:dyDescent="0.25">
      <c r="A6" s="4" t="s">
        <v>11</v>
      </c>
      <c r="B6" s="5">
        <f t="shared" si="0"/>
        <v>13002840</v>
      </c>
      <c r="C6" s="6">
        <v>6358920</v>
      </c>
      <c r="D6" s="6">
        <v>142500</v>
      </c>
      <c r="E6" s="6">
        <f t="shared" si="1"/>
        <v>6501420</v>
      </c>
      <c r="F6" s="7">
        <v>6358920</v>
      </c>
      <c r="G6" s="7">
        <v>142500</v>
      </c>
      <c r="H6" s="8">
        <f t="shared" si="2"/>
        <v>6501420</v>
      </c>
    </row>
    <row r="7" spans="1:8" x14ac:dyDescent="0.25">
      <c r="A7" s="4" t="s">
        <v>12</v>
      </c>
      <c r="B7" s="5">
        <f t="shared" si="0"/>
        <v>147697440</v>
      </c>
      <c r="C7" s="6">
        <v>72123720</v>
      </c>
      <c r="D7" s="6">
        <v>1725000</v>
      </c>
      <c r="E7" s="6">
        <f t="shared" si="1"/>
        <v>73848720</v>
      </c>
      <c r="F7" s="7">
        <v>72123720</v>
      </c>
      <c r="G7" s="7">
        <v>1725000</v>
      </c>
      <c r="H7" s="8">
        <f t="shared" si="2"/>
        <v>73848720</v>
      </c>
    </row>
    <row r="8" spans="1:8" x14ac:dyDescent="0.25">
      <c r="A8" s="4" t="s">
        <v>13</v>
      </c>
      <c r="B8" s="5">
        <f t="shared" si="0"/>
        <v>83704440</v>
      </c>
      <c r="C8" s="9">
        <v>40884720</v>
      </c>
      <c r="D8" s="9">
        <v>967500</v>
      </c>
      <c r="E8" s="6">
        <f t="shared" si="1"/>
        <v>41852220</v>
      </c>
      <c r="F8" s="10">
        <v>40884720</v>
      </c>
      <c r="G8" s="10">
        <v>967500</v>
      </c>
      <c r="H8" s="8">
        <f t="shared" si="2"/>
        <v>41852220</v>
      </c>
    </row>
    <row r="9" spans="1:8" x14ac:dyDescent="0.25">
      <c r="A9" s="4" t="s">
        <v>14</v>
      </c>
      <c r="B9" s="5">
        <f t="shared" si="0"/>
        <v>117494040</v>
      </c>
      <c r="C9" s="6">
        <v>57352020</v>
      </c>
      <c r="D9" s="6">
        <v>1395000</v>
      </c>
      <c r="E9" s="6">
        <f t="shared" si="1"/>
        <v>58747020</v>
      </c>
      <c r="F9" s="7">
        <v>57352020</v>
      </c>
      <c r="G9" s="7">
        <v>1395000</v>
      </c>
      <c r="H9" s="8">
        <f t="shared" si="2"/>
        <v>58747020</v>
      </c>
    </row>
    <row r="10" spans="1:8" x14ac:dyDescent="0.25">
      <c r="A10" s="4" t="s">
        <v>15</v>
      </c>
      <c r="B10" s="5">
        <f t="shared" si="0"/>
        <v>15827160</v>
      </c>
      <c r="C10" s="6">
        <v>7726080</v>
      </c>
      <c r="D10" s="6">
        <v>187500</v>
      </c>
      <c r="E10" s="6">
        <f t="shared" si="1"/>
        <v>7913580</v>
      </c>
      <c r="F10" s="7">
        <v>7726080</v>
      </c>
      <c r="G10" s="7">
        <v>187500</v>
      </c>
      <c r="H10" s="8">
        <f t="shared" si="2"/>
        <v>7913580</v>
      </c>
    </row>
    <row r="11" spans="1:8" x14ac:dyDescent="0.25">
      <c r="A11" s="4" t="s">
        <v>16</v>
      </c>
      <c r="B11" s="5">
        <f t="shared" si="0"/>
        <v>60928080</v>
      </c>
      <c r="C11" s="6">
        <v>29714040</v>
      </c>
      <c r="D11" s="6">
        <v>750000</v>
      </c>
      <c r="E11" s="6">
        <f t="shared" si="1"/>
        <v>30464040</v>
      </c>
      <c r="F11" s="7">
        <v>29714040</v>
      </c>
      <c r="G11" s="7">
        <v>750000</v>
      </c>
      <c r="H11" s="8">
        <f t="shared" si="2"/>
        <v>30464040</v>
      </c>
    </row>
    <row r="12" spans="1:8" x14ac:dyDescent="0.25">
      <c r="A12" s="4" t="s">
        <v>17</v>
      </c>
      <c r="B12" s="5">
        <f t="shared" si="0"/>
        <v>209851200</v>
      </c>
      <c r="C12" s="6">
        <v>102270600</v>
      </c>
      <c r="D12" s="6">
        <v>2655000</v>
      </c>
      <c r="E12" s="6">
        <f t="shared" si="1"/>
        <v>104925600</v>
      </c>
      <c r="F12" s="7">
        <v>102270600</v>
      </c>
      <c r="G12" s="7">
        <v>2655000</v>
      </c>
      <c r="H12" s="8">
        <f t="shared" si="2"/>
        <v>104925600</v>
      </c>
    </row>
    <row r="13" spans="1:8" x14ac:dyDescent="0.25">
      <c r="A13" s="4" t="s">
        <v>18</v>
      </c>
      <c r="B13" s="5">
        <f t="shared" si="0"/>
        <v>188423520</v>
      </c>
      <c r="C13" s="9">
        <v>91841760</v>
      </c>
      <c r="D13" s="9">
        <v>2370000</v>
      </c>
      <c r="E13" s="6">
        <f t="shared" si="1"/>
        <v>94211760</v>
      </c>
      <c r="F13" s="10">
        <v>91841760</v>
      </c>
      <c r="G13" s="10">
        <v>2370000</v>
      </c>
      <c r="H13" s="8">
        <f t="shared" si="2"/>
        <v>94211760</v>
      </c>
    </row>
    <row r="14" spans="1:8" x14ac:dyDescent="0.25">
      <c r="A14" s="4" t="s">
        <v>19</v>
      </c>
      <c r="B14" s="5">
        <f t="shared" si="0"/>
        <v>80028000</v>
      </c>
      <c r="C14" s="6">
        <v>39001500</v>
      </c>
      <c r="D14" s="6">
        <v>1012500</v>
      </c>
      <c r="E14" s="6">
        <f t="shared" si="1"/>
        <v>40014000</v>
      </c>
      <c r="F14" s="7">
        <v>39001500</v>
      </c>
      <c r="G14" s="7">
        <v>1012500</v>
      </c>
      <c r="H14" s="8">
        <f t="shared" si="2"/>
        <v>40014000</v>
      </c>
    </row>
    <row r="15" spans="1:8" x14ac:dyDescent="0.25">
      <c r="A15" s="4" t="s">
        <v>20</v>
      </c>
      <c r="B15" s="5">
        <f t="shared" si="0"/>
        <v>36025800</v>
      </c>
      <c r="C15" s="6">
        <v>17562900</v>
      </c>
      <c r="D15" s="6">
        <v>450000</v>
      </c>
      <c r="E15" s="6">
        <f t="shared" si="1"/>
        <v>18012900</v>
      </c>
      <c r="F15" s="7">
        <v>17562900</v>
      </c>
      <c r="G15" s="7">
        <v>450000</v>
      </c>
      <c r="H15" s="8">
        <f t="shared" si="2"/>
        <v>18012900</v>
      </c>
    </row>
    <row r="16" spans="1:8" x14ac:dyDescent="0.25">
      <c r="A16" s="4" t="s">
        <v>21</v>
      </c>
      <c r="B16" s="5">
        <f t="shared" si="0"/>
        <v>308256000</v>
      </c>
      <c r="C16" s="6">
        <v>150228000</v>
      </c>
      <c r="D16" s="6">
        <v>3900000</v>
      </c>
      <c r="E16" s="6">
        <f t="shared" si="1"/>
        <v>154128000</v>
      </c>
      <c r="F16" s="7">
        <v>150228000</v>
      </c>
      <c r="G16" s="7">
        <v>3900000</v>
      </c>
      <c r="H16" s="8">
        <f t="shared" si="2"/>
        <v>154128000</v>
      </c>
    </row>
    <row r="17" spans="1:8" x14ac:dyDescent="0.25">
      <c r="A17" s="4" t="s">
        <v>22</v>
      </c>
      <c r="B17" s="5">
        <f t="shared" si="0"/>
        <v>25080720</v>
      </c>
      <c r="C17" s="6">
        <v>12225360</v>
      </c>
      <c r="D17" s="6">
        <v>315000</v>
      </c>
      <c r="E17" s="6">
        <f t="shared" si="1"/>
        <v>12540360</v>
      </c>
      <c r="F17" s="7">
        <v>12225360</v>
      </c>
      <c r="G17" s="7">
        <v>315000</v>
      </c>
      <c r="H17" s="8">
        <f t="shared" si="2"/>
        <v>12540360</v>
      </c>
    </row>
    <row r="18" spans="1:8" x14ac:dyDescent="0.25">
      <c r="A18" s="4" t="s">
        <v>23</v>
      </c>
      <c r="B18" s="5">
        <f t="shared" si="0"/>
        <v>4742400</v>
      </c>
      <c r="C18" s="6">
        <v>2311200</v>
      </c>
      <c r="D18" s="6">
        <v>60000</v>
      </c>
      <c r="E18" s="6">
        <f t="shared" si="1"/>
        <v>2371200</v>
      </c>
      <c r="F18" s="7">
        <v>2311200</v>
      </c>
      <c r="G18" s="7">
        <v>60000</v>
      </c>
      <c r="H18" s="8">
        <f t="shared" si="2"/>
        <v>2371200</v>
      </c>
    </row>
    <row r="19" spans="1:8" x14ac:dyDescent="0.25">
      <c r="A19" s="4" t="s">
        <v>24</v>
      </c>
      <c r="B19" s="5">
        <f t="shared" si="0"/>
        <v>34661760</v>
      </c>
      <c r="C19" s="6">
        <v>16910880</v>
      </c>
      <c r="D19" s="6">
        <v>420000</v>
      </c>
      <c r="E19" s="6">
        <f t="shared" si="1"/>
        <v>17330880</v>
      </c>
      <c r="F19" s="7">
        <v>16910880</v>
      </c>
      <c r="G19" s="7">
        <v>420000</v>
      </c>
      <c r="H19" s="8">
        <f t="shared" si="2"/>
        <v>17330880</v>
      </c>
    </row>
    <row r="20" spans="1:8" x14ac:dyDescent="0.25">
      <c r="A20" s="4" t="s">
        <v>25</v>
      </c>
      <c r="B20" s="5">
        <f t="shared" si="0"/>
        <v>45602160</v>
      </c>
      <c r="C20" s="6">
        <v>22231080</v>
      </c>
      <c r="D20" s="6">
        <v>570000</v>
      </c>
      <c r="E20" s="6">
        <f t="shared" si="1"/>
        <v>22801080</v>
      </c>
      <c r="F20" s="7">
        <v>22231080</v>
      </c>
      <c r="G20" s="7">
        <v>570000</v>
      </c>
      <c r="H20" s="8">
        <f t="shared" si="2"/>
        <v>22801080</v>
      </c>
    </row>
    <row r="21" spans="1:8" x14ac:dyDescent="0.25">
      <c r="A21" s="4" t="s">
        <v>26</v>
      </c>
      <c r="B21" s="5">
        <f t="shared" si="0"/>
        <v>58687200</v>
      </c>
      <c r="C21" s="9">
        <v>28601100</v>
      </c>
      <c r="D21" s="9">
        <v>742500</v>
      </c>
      <c r="E21" s="6">
        <f t="shared" si="1"/>
        <v>29343600</v>
      </c>
      <c r="F21" s="10">
        <v>28601100</v>
      </c>
      <c r="G21" s="10">
        <v>742500</v>
      </c>
      <c r="H21" s="8">
        <f t="shared" si="2"/>
        <v>29343600</v>
      </c>
    </row>
    <row r="22" spans="1:8" x14ac:dyDescent="0.25">
      <c r="A22" s="4" t="s">
        <v>27</v>
      </c>
      <c r="B22" s="5">
        <f t="shared" si="0"/>
        <v>56316000</v>
      </c>
      <c r="C22" s="6">
        <v>27445500</v>
      </c>
      <c r="D22" s="6">
        <v>712500</v>
      </c>
      <c r="E22" s="6">
        <f t="shared" si="1"/>
        <v>28158000</v>
      </c>
      <c r="F22" s="7">
        <v>27445500</v>
      </c>
      <c r="G22" s="7">
        <v>712500</v>
      </c>
      <c r="H22" s="8">
        <f t="shared" si="2"/>
        <v>28158000</v>
      </c>
    </row>
    <row r="23" spans="1:8" x14ac:dyDescent="0.25">
      <c r="A23" s="4" t="s">
        <v>28</v>
      </c>
      <c r="B23" s="5">
        <f t="shared" si="0"/>
        <v>17191200</v>
      </c>
      <c r="C23" s="6">
        <v>8378100</v>
      </c>
      <c r="D23" s="6">
        <v>217500</v>
      </c>
      <c r="E23" s="6">
        <f t="shared" si="1"/>
        <v>8595600</v>
      </c>
      <c r="F23" s="7">
        <v>8378100</v>
      </c>
      <c r="G23" s="7">
        <v>217500</v>
      </c>
      <c r="H23" s="8">
        <f t="shared" si="2"/>
        <v>8595600</v>
      </c>
    </row>
    <row r="24" spans="1:8" x14ac:dyDescent="0.25">
      <c r="A24" s="4" t="s">
        <v>29</v>
      </c>
      <c r="B24" s="5">
        <f t="shared" si="0"/>
        <v>54064440</v>
      </c>
      <c r="C24" s="6">
        <v>26439720</v>
      </c>
      <c r="D24" s="6">
        <v>592500</v>
      </c>
      <c r="E24" s="6">
        <f t="shared" si="1"/>
        <v>27032220</v>
      </c>
      <c r="F24" s="7">
        <v>26439720</v>
      </c>
      <c r="G24" s="7">
        <v>592500</v>
      </c>
      <c r="H24" s="8">
        <f t="shared" si="2"/>
        <v>27032220</v>
      </c>
    </row>
    <row r="25" spans="1:8" x14ac:dyDescent="0.25">
      <c r="A25" s="4" t="s">
        <v>30</v>
      </c>
      <c r="B25" s="5">
        <f>+H25+E25</f>
        <v>22526400</v>
      </c>
      <c r="C25" s="6">
        <v>10978200</v>
      </c>
      <c r="D25" s="6">
        <v>285000</v>
      </c>
      <c r="E25" s="6">
        <f t="shared" si="1"/>
        <v>11263200</v>
      </c>
      <c r="F25" s="7">
        <v>10978200</v>
      </c>
      <c r="G25" s="7">
        <v>285000</v>
      </c>
      <c r="H25" s="8">
        <f t="shared" si="2"/>
        <v>11263200</v>
      </c>
    </row>
    <row r="26" spans="1:8" x14ac:dyDescent="0.25">
      <c r="A26" s="4" t="s">
        <v>31</v>
      </c>
      <c r="B26" s="5">
        <f t="shared" si="0"/>
        <v>61019640</v>
      </c>
      <c r="C26" s="9">
        <v>29759820</v>
      </c>
      <c r="D26" s="9">
        <v>750000</v>
      </c>
      <c r="E26" s="6">
        <f t="shared" si="1"/>
        <v>30509820</v>
      </c>
      <c r="F26" s="10">
        <v>29759820</v>
      </c>
      <c r="G26" s="10">
        <v>750000</v>
      </c>
      <c r="H26" s="8">
        <f t="shared" si="2"/>
        <v>30509820</v>
      </c>
    </row>
    <row r="27" spans="1:8" x14ac:dyDescent="0.25">
      <c r="A27" s="4" t="s">
        <v>32</v>
      </c>
      <c r="B27" s="5">
        <f t="shared" si="0"/>
        <v>21846720</v>
      </c>
      <c r="C27" s="6">
        <v>10660860</v>
      </c>
      <c r="D27" s="6">
        <v>262500</v>
      </c>
      <c r="E27" s="6">
        <f t="shared" si="1"/>
        <v>10923360</v>
      </c>
      <c r="F27" s="7">
        <v>10660860</v>
      </c>
      <c r="G27" s="7">
        <v>262500</v>
      </c>
      <c r="H27" s="8">
        <f t="shared" si="2"/>
        <v>10923360</v>
      </c>
    </row>
    <row r="28" spans="1:8" x14ac:dyDescent="0.25">
      <c r="A28" s="4" t="s">
        <v>33</v>
      </c>
      <c r="B28" s="5">
        <f t="shared" si="0"/>
        <v>34218000</v>
      </c>
      <c r="C28" s="6">
        <v>16734000</v>
      </c>
      <c r="D28" s="6">
        <v>375000</v>
      </c>
      <c r="E28" s="6">
        <f t="shared" si="1"/>
        <v>17109000</v>
      </c>
      <c r="F28" s="7">
        <v>16734000</v>
      </c>
      <c r="G28" s="7">
        <v>375000</v>
      </c>
      <c r="H28" s="8">
        <f t="shared" si="2"/>
        <v>17109000</v>
      </c>
    </row>
    <row r="29" spans="1:8" x14ac:dyDescent="0.25">
      <c r="A29" s="4" t="s">
        <v>34</v>
      </c>
      <c r="B29" s="5">
        <f t="shared" si="0"/>
        <v>27413160</v>
      </c>
      <c r="C29" s="6">
        <v>13384080</v>
      </c>
      <c r="D29" s="6">
        <v>322500</v>
      </c>
      <c r="E29" s="6">
        <f t="shared" si="1"/>
        <v>13706580</v>
      </c>
      <c r="F29" s="7">
        <v>13384080</v>
      </c>
      <c r="G29" s="7">
        <v>322500</v>
      </c>
      <c r="H29" s="8">
        <f t="shared" si="2"/>
        <v>13706580</v>
      </c>
    </row>
    <row r="30" spans="1:8" x14ac:dyDescent="0.25">
      <c r="A30" s="4" t="s">
        <v>35</v>
      </c>
      <c r="B30" s="5">
        <f t="shared" si="0"/>
        <v>2964000</v>
      </c>
      <c r="C30" s="6">
        <v>1444500</v>
      </c>
      <c r="D30" s="6">
        <v>37500</v>
      </c>
      <c r="E30" s="6">
        <f t="shared" si="1"/>
        <v>1482000</v>
      </c>
      <c r="F30" s="7">
        <v>1444500</v>
      </c>
      <c r="G30" s="7">
        <v>37500</v>
      </c>
      <c r="H30" s="8">
        <f t="shared" si="2"/>
        <v>1482000</v>
      </c>
    </row>
    <row r="31" spans="1:8" x14ac:dyDescent="0.25">
      <c r="A31" s="4" t="s">
        <v>36</v>
      </c>
      <c r="B31" s="5">
        <f t="shared" si="0"/>
        <v>17875560</v>
      </c>
      <c r="C31" s="6">
        <v>8712780</v>
      </c>
      <c r="D31" s="6">
        <v>225000</v>
      </c>
      <c r="E31" s="6">
        <f t="shared" si="1"/>
        <v>8937780</v>
      </c>
      <c r="F31" s="7">
        <v>8712780</v>
      </c>
      <c r="G31" s="7">
        <v>225000</v>
      </c>
      <c r="H31" s="8">
        <f t="shared" si="2"/>
        <v>8937780</v>
      </c>
    </row>
    <row r="32" spans="1:8" x14ac:dyDescent="0.25">
      <c r="A32" s="4" t="s">
        <v>37</v>
      </c>
      <c r="B32" s="5">
        <f t="shared" si="0"/>
        <v>124289520</v>
      </c>
      <c r="C32" s="9">
        <v>60667260</v>
      </c>
      <c r="D32" s="6">
        <v>1477500</v>
      </c>
      <c r="E32" s="6">
        <f t="shared" si="1"/>
        <v>62144760</v>
      </c>
      <c r="F32" s="10">
        <v>60667260</v>
      </c>
      <c r="G32" s="7">
        <v>1477500</v>
      </c>
      <c r="H32" s="8">
        <f t="shared" si="2"/>
        <v>62144760</v>
      </c>
    </row>
    <row r="33" spans="1:8" ht="15.75" thickBot="1" x14ac:dyDescent="0.3">
      <c r="A33" s="11" t="s">
        <v>38</v>
      </c>
      <c r="B33" s="5">
        <f>+H33+E33</f>
        <v>44460000</v>
      </c>
      <c r="C33" s="12">
        <v>21667500</v>
      </c>
      <c r="D33" s="12">
        <v>562500</v>
      </c>
      <c r="E33" s="6">
        <f t="shared" si="1"/>
        <v>22230000</v>
      </c>
      <c r="F33" s="13">
        <v>21667500</v>
      </c>
      <c r="G33" s="13">
        <v>562500</v>
      </c>
      <c r="H33" s="8">
        <f t="shared" si="2"/>
        <v>22230000</v>
      </c>
    </row>
    <row r="34" spans="1:8" ht="15.75" thickBot="1" x14ac:dyDescent="0.3">
      <c r="A34" s="14" t="s">
        <v>39</v>
      </c>
      <c r="B34" s="15">
        <f>SUM(B3:B33)</f>
        <v>2024438160</v>
      </c>
      <c r="C34" s="16">
        <f t="shared" ref="C34:H34" si="3">SUM(C3:C33)</f>
        <v>987424080</v>
      </c>
      <c r="D34" s="16">
        <f t="shared" si="3"/>
        <v>24795000</v>
      </c>
      <c r="E34" s="16">
        <f t="shared" si="3"/>
        <v>1012219080</v>
      </c>
      <c r="F34" s="17">
        <f t="shared" si="3"/>
        <v>987424080</v>
      </c>
      <c r="G34" s="17">
        <f t="shared" si="3"/>
        <v>24795000</v>
      </c>
      <c r="H34" s="18">
        <f t="shared" si="3"/>
        <v>1012219080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workbookViewId="0">
      <selection activeCell="J9" sqref="J9"/>
    </sheetView>
  </sheetViews>
  <sheetFormatPr baseColWidth="10" defaultRowHeight="15" x14ac:dyDescent="0.25"/>
  <cols>
    <col min="1" max="1" width="20.5703125" style="38" bestFit="1" customWidth="1"/>
    <col min="2" max="2" width="16.5703125" style="38" bestFit="1" customWidth="1"/>
    <col min="3" max="3" width="18.42578125" style="38" bestFit="1" customWidth="1"/>
    <col min="4" max="4" width="17.140625" style="38" bestFit="1" customWidth="1"/>
    <col min="5" max="5" width="15.42578125" style="38" bestFit="1" customWidth="1"/>
    <col min="6" max="7" width="15.85546875" style="20" bestFit="1" customWidth="1"/>
    <col min="8" max="8" width="18.7109375" style="20" customWidth="1"/>
    <col min="9" max="9" width="18" style="20" bestFit="1" customWidth="1"/>
    <col min="10" max="10" width="17.7109375" style="20" bestFit="1" customWidth="1"/>
    <col min="11" max="11" width="18.7109375" style="20" bestFit="1" customWidth="1"/>
    <col min="12" max="12" width="21.42578125" style="20" bestFit="1" customWidth="1"/>
    <col min="13" max="13" width="16.85546875" style="20" bestFit="1" customWidth="1"/>
    <col min="14" max="16384" width="11.42578125" style="20"/>
  </cols>
  <sheetData>
    <row r="1" spans="1:13" x14ac:dyDescent="0.25">
      <c r="A1" s="42" t="s">
        <v>41</v>
      </c>
      <c r="B1" s="43" t="s">
        <v>42</v>
      </c>
      <c r="C1" s="43" t="s">
        <v>43</v>
      </c>
      <c r="D1" s="43" t="s">
        <v>44</v>
      </c>
      <c r="E1" s="43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22" t="s">
        <v>52</v>
      </c>
      <c r="M1" s="24" t="s">
        <v>53</v>
      </c>
    </row>
    <row r="2" spans="1:13" x14ac:dyDescent="0.25">
      <c r="A2" s="33" t="s">
        <v>8</v>
      </c>
      <c r="B2" s="34">
        <v>2568800</v>
      </c>
      <c r="C2" s="34">
        <v>2568800</v>
      </c>
      <c r="D2" s="34">
        <v>2568800</v>
      </c>
      <c r="E2" s="34">
        <v>2568800</v>
      </c>
      <c r="F2" s="21">
        <v>2568800</v>
      </c>
      <c r="G2" s="21">
        <v>2568800</v>
      </c>
      <c r="H2" s="21">
        <v>2568800</v>
      </c>
      <c r="I2" s="21">
        <v>2568800</v>
      </c>
      <c r="J2" s="21">
        <v>2568800</v>
      </c>
      <c r="K2" s="21">
        <v>2568800</v>
      </c>
      <c r="L2" s="23">
        <v>5137600</v>
      </c>
      <c r="M2" s="25">
        <f>SUM(B2:L2)</f>
        <v>30825600</v>
      </c>
    </row>
    <row r="3" spans="1:13" x14ac:dyDescent="0.25">
      <c r="A3" s="33" t="s">
        <v>9</v>
      </c>
      <c r="B3" s="34">
        <v>456240</v>
      </c>
      <c r="C3" s="34">
        <v>456240</v>
      </c>
      <c r="D3" s="34">
        <v>456240</v>
      </c>
      <c r="E3" s="34">
        <v>456240</v>
      </c>
      <c r="F3" s="21">
        <v>456240</v>
      </c>
      <c r="G3" s="21">
        <v>456240</v>
      </c>
      <c r="H3" s="21">
        <v>456240</v>
      </c>
      <c r="I3" s="21">
        <v>456240</v>
      </c>
      <c r="J3" s="21">
        <v>456240</v>
      </c>
      <c r="K3" s="21">
        <v>456240</v>
      </c>
      <c r="L3" s="23">
        <v>912480</v>
      </c>
      <c r="M3" s="25">
        <f t="shared" ref="M3:M32" si="0">SUM(B3:L3)</f>
        <v>5474880</v>
      </c>
    </row>
    <row r="4" spans="1:13" x14ac:dyDescent="0.25">
      <c r="A4" s="33" t="s">
        <v>10</v>
      </c>
      <c r="B4" s="34">
        <v>1568325</v>
      </c>
      <c r="C4" s="34">
        <v>1568325</v>
      </c>
      <c r="D4" s="34">
        <v>1568325</v>
      </c>
      <c r="E4" s="34">
        <v>1568325</v>
      </c>
      <c r="F4" s="21">
        <v>1568325</v>
      </c>
      <c r="G4" s="21">
        <v>1568325</v>
      </c>
      <c r="H4" s="21">
        <v>1568325</v>
      </c>
      <c r="I4" s="21">
        <v>1568325</v>
      </c>
      <c r="J4" s="21">
        <v>1568325</v>
      </c>
      <c r="K4" s="21">
        <v>1568325</v>
      </c>
      <c r="L4" s="23">
        <v>3136650</v>
      </c>
      <c r="M4" s="25">
        <f t="shared" si="0"/>
        <v>18819900</v>
      </c>
    </row>
    <row r="5" spans="1:13" x14ac:dyDescent="0.25">
      <c r="A5" s="33" t="s">
        <v>11</v>
      </c>
      <c r="B5" s="34">
        <v>541785</v>
      </c>
      <c r="C5" s="34">
        <v>541785</v>
      </c>
      <c r="D5" s="34">
        <v>541785</v>
      </c>
      <c r="E5" s="34">
        <v>541785</v>
      </c>
      <c r="F5" s="21">
        <v>541785</v>
      </c>
      <c r="G5" s="21">
        <v>541785</v>
      </c>
      <c r="H5" s="21">
        <v>541785</v>
      </c>
      <c r="I5" s="21">
        <v>541785</v>
      </c>
      <c r="J5" s="21">
        <v>541785</v>
      </c>
      <c r="K5" s="21">
        <v>541785</v>
      </c>
      <c r="L5" s="23">
        <v>1083570</v>
      </c>
      <c r="M5" s="25">
        <f t="shared" si="0"/>
        <v>6501420</v>
      </c>
    </row>
    <row r="6" spans="1:13" x14ac:dyDescent="0.25">
      <c r="A6" s="33" t="s">
        <v>12</v>
      </c>
      <c r="B6" s="34">
        <v>6154060</v>
      </c>
      <c r="C6" s="34">
        <v>6154060</v>
      </c>
      <c r="D6" s="34">
        <v>6154060</v>
      </c>
      <c r="E6" s="34">
        <v>6154060</v>
      </c>
      <c r="F6" s="21">
        <v>6154060</v>
      </c>
      <c r="G6" s="21">
        <v>6154060</v>
      </c>
      <c r="H6" s="21">
        <v>6154060</v>
      </c>
      <c r="I6" s="21">
        <v>6154060</v>
      </c>
      <c r="J6" s="21">
        <v>6154060</v>
      </c>
      <c r="K6" s="21">
        <v>6154060</v>
      </c>
      <c r="L6" s="23">
        <v>12308120</v>
      </c>
      <c r="M6" s="25">
        <f t="shared" si="0"/>
        <v>73848720</v>
      </c>
    </row>
    <row r="7" spans="1:13" x14ac:dyDescent="0.25">
      <c r="A7" s="33" t="s">
        <v>13</v>
      </c>
      <c r="B7" s="34">
        <v>3487685</v>
      </c>
      <c r="C7" s="34">
        <v>3487685</v>
      </c>
      <c r="D7" s="34">
        <v>3487685</v>
      </c>
      <c r="E7" s="34">
        <v>3487685</v>
      </c>
      <c r="F7" s="21">
        <v>3487685</v>
      </c>
      <c r="G7" s="21">
        <v>3487685</v>
      </c>
      <c r="H7" s="21">
        <v>3487685</v>
      </c>
      <c r="I7" s="21">
        <v>3487685</v>
      </c>
      <c r="J7" s="21">
        <v>3487685</v>
      </c>
      <c r="K7" s="21">
        <v>3487685</v>
      </c>
      <c r="L7" s="23">
        <v>6975370</v>
      </c>
      <c r="M7" s="25">
        <f t="shared" si="0"/>
        <v>41852220</v>
      </c>
    </row>
    <row r="8" spans="1:13" x14ac:dyDescent="0.25">
      <c r="A8" s="33" t="s">
        <v>14</v>
      </c>
      <c r="B8" s="34">
        <v>4895585</v>
      </c>
      <c r="C8" s="34">
        <v>4895585</v>
      </c>
      <c r="D8" s="34">
        <v>4895585</v>
      </c>
      <c r="E8" s="34">
        <v>4895585</v>
      </c>
      <c r="F8" s="21">
        <v>4895585</v>
      </c>
      <c r="G8" s="21">
        <v>4895585</v>
      </c>
      <c r="H8" s="21">
        <v>4895585</v>
      </c>
      <c r="I8" s="21">
        <v>4895585</v>
      </c>
      <c r="J8" s="21">
        <v>4895585</v>
      </c>
      <c r="K8" s="21">
        <v>4895585</v>
      </c>
      <c r="L8" s="23">
        <v>9791170</v>
      </c>
      <c r="M8" s="25">
        <f t="shared" si="0"/>
        <v>58747020</v>
      </c>
    </row>
    <row r="9" spans="1:13" x14ac:dyDescent="0.25">
      <c r="A9" s="33" t="s">
        <v>15</v>
      </c>
      <c r="B9" s="34">
        <v>659465</v>
      </c>
      <c r="C9" s="34">
        <v>659465</v>
      </c>
      <c r="D9" s="34">
        <v>659465</v>
      </c>
      <c r="E9" s="34">
        <v>659465</v>
      </c>
      <c r="F9" s="21">
        <v>659465</v>
      </c>
      <c r="G9" s="21">
        <v>659465</v>
      </c>
      <c r="H9" s="21">
        <v>659465</v>
      </c>
      <c r="I9" s="21">
        <v>659465</v>
      </c>
      <c r="J9" s="21">
        <v>659465</v>
      </c>
      <c r="K9" s="21">
        <v>659465</v>
      </c>
      <c r="L9" s="23">
        <v>1318930</v>
      </c>
      <c r="M9" s="25">
        <f t="shared" si="0"/>
        <v>7913580</v>
      </c>
    </row>
    <row r="10" spans="1:13" x14ac:dyDescent="0.25">
      <c r="A10" s="33" t="s">
        <v>16</v>
      </c>
      <c r="B10" s="34">
        <v>2538670</v>
      </c>
      <c r="C10" s="34">
        <v>2538670</v>
      </c>
      <c r="D10" s="34">
        <v>2538670</v>
      </c>
      <c r="E10" s="34">
        <v>2538670</v>
      </c>
      <c r="F10" s="21">
        <v>2538670</v>
      </c>
      <c r="G10" s="21">
        <v>2538670</v>
      </c>
      <c r="H10" s="21">
        <v>2538670</v>
      </c>
      <c r="I10" s="21">
        <v>2538670</v>
      </c>
      <c r="J10" s="21">
        <v>2538670</v>
      </c>
      <c r="K10" s="21">
        <v>2538670</v>
      </c>
      <c r="L10" s="23">
        <v>5077340</v>
      </c>
      <c r="M10" s="25">
        <f t="shared" si="0"/>
        <v>30464040</v>
      </c>
    </row>
    <row r="11" spans="1:13" x14ac:dyDescent="0.25">
      <c r="A11" s="33" t="s">
        <v>55</v>
      </c>
      <c r="B11" s="34">
        <v>8743800</v>
      </c>
      <c r="C11" s="34">
        <v>8743800</v>
      </c>
      <c r="D11" s="34">
        <v>8743800</v>
      </c>
      <c r="E11" s="34">
        <v>8743800</v>
      </c>
      <c r="F11" s="21">
        <v>8743800</v>
      </c>
      <c r="G11" s="21">
        <v>8743800</v>
      </c>
      <c r="H11" s="21">
        <v>8743800</v>
      </c>
      <c r="I11" s="21">
        <v>8743800</v>
      </c>
      <c r="J11" s="21">
        <v>8743800</v>
      </c>
      <c r="K11" s="21">
        <v>8743800</v>
      </c>
      <c r="L11" s="23">
        <v>17487600</v>
      </c>
      <c r="M11" s="25">
        <f t="shared" si="0"/>
        <v>104925600</v>
      </c>
    </row>
    <row r="12" spans="1:13" x14ac:dyDescent="0.25">
      <c r="A12" s="33" t="s">
        <v>18</v>
      </c>
      <c r="B12" s="34">
        <v>7850980</v>
      </c>
      <c r="C12" s="34">
        <v>7850980</v>
      </c>
      <c r="D12" s="34">
        <v>7850980</v>
      </c>
      <c r="E12" s="34">
        <v>7850980</v>
      </c>
      <c r="F12" s="21">
        <v>7850980</v>
      </c>
      <c r="G12" s="21">
        <v>7850980</v>
      </c>
      <c r="H12" s="21">
        <v>7850980</v>
      </c>
      <c r="I12" s="21">
        <v>7850980</v>
      </c>
      <c r="J12" s="21">
        <v>7850980</v>
      </c>
      <c r="K12" s="21">
        <v>7850980</v>
      </c>
      <c r="L12" s="23">
        <v>15701960</v>
      </c>
      <c r="M12" s="25">
        <f t="shared" si="0"/>
        <v>94211760</v>
      </c>
    </row>
    <row r="13" spans="1:13" x14ac:dyDescent="0.25">
      <c r="A13" s="33" t="s">
        <v>19</v>
      </c>
      <c r="B13" s="34">
        <v>3334500</v>
      </c>
      <c r="C13" s="34">
        <v>3334500</v>
      </c>
      <c r="D13" s="34">
        <v>3334500</v>
      </c>
      <c r="E13" s="34">
        <v>3334500</v>
      </c>
      <c r="F13" s="21">
        <v>3334500</v>
      </c>
      <c r="G13" s="21">
        <v>3334500</v>
      </c>
      <c r="H13" s="21">
        <v>3334500</v>
      </c>
      <c r="I13" s="21">
        <v>3334500</v>
      </c>
      <c r="J13" s="21">
        <v>3334500</v>
      </c>
      <c r="K13" s="21">
        <v>3334500</v>
      </c>
      <c r="L13" s="23">
        <v>6669000</v>
      </c>
      <c r="M13" s="25">
        <f t="shared" si="0"/>
        <v>40014000</v>
      </c>
    </row>
    <row r="14" spans="1:13" x14ac:dyDescent="0.25">
      <c r="A14" s="33" t="s">
        <v>20</v>
      </c>
      <c r="B14" s="34">
        <v>1501075</v>
      </c>
      <c r="C14" s="34">
        <v>1501075</v>
      </c>
      <c r="D14" s="34">
        <v>1501075</v>
      </c>
      <c r="E14" s="34">
        <v>1501075</v>
      </c>
      <c r="F14" s="21">
        <v>1501075</v>
      </c>
      <c r="G14" s="21">
        <v>1501075</v>
      </c>
      <c r="H14" s="21">
        <v>1501075</v>
      </c>
      <c r="I14" s="21">
        <v>1501075</v>
      </c>
      <c r="J14" s="21">
        <v>1501075</v>
      </c>
      <c r="K14" s="21">
        <v>1501075</v>
      </c>
      <c r="L14" s="23">
        <v>3002150</v>
      </c>
      <c r="M14" s="25">
        <f t="shared" si="0"/>
        <v>18012900</v>
      </c>
    </row>
    <row r="15" spans="1:13" s="38" customFormat="1" x14ac:dyDescent="0.25">
      <c r="A15" s="33" t="s">
        <v>21</v>
      </c>
      <c r="B15" s="34">
        <v>12844000</v>
      </c>
      <c r="C15" s="34">
        <v>12844000</v>
      </c>
      <c r="D15" s="34">
        <v>12844000</v>
      </c>
      <c r="E15" s="34">
        <v>12844000</v>
      </c>
      <c r="F15" s="34">
        <v>12844000</v>
      </c>
      <c r="G15" s="34">
        <v>12844000</v>
      </c>
      <c r="H15" s="34">
        <v>12844000</v>
      </c>
      <c r="I15" s="34">
        <v>12844000</v>
      </c>
      <c r="J15" s="34">
        <v>12844000</v>
      </c>
      <c r="K15" s="34">
        <v>12844000</v>
      </c>
      <c r="L15" s="35">
        <v>25688000</v>
      </c>
      <c r="M15" s="36">
        <f t="shared" si="0"/>
        <v>154128000</v>
      </c>
    </row>
    <row r="16" spans="1:13" x14ac:dyDescent="0.25">
      <c r="A16" s="33" t="s">
        <v>22</v>
      </c>
      <c r="B16" s="34">
        <v>1045030</v>
      </c>
      <c r="C16" s="34">
        <v>1045030</v>
      </c>
      <c r="D16" s="34">
        <v>1045030</v>
      </c>
      <c r="E16" s="34">
        <v>1045030</v>
      </c>
      <c r="F16" s="21">
        <v>1045030</v>
      </c>
      <c r="G16" s="21">
        <v>1045030</v>
      </c>
      <c r="H16" s="21">
        <v>1045030</v>
      </c>
      <c r="I16" s="21">
        <v>1045030</v>
      </c>
      <c r="J16" s="21">
        <v>1045030</v>
      </c>
      <c r="K16" s="21">
        <v>1045030</v>
      </c>
      <c r="L16" s="23">
        <v>2090060</v>
      </c>
      <c r="M16" s="25">
        <f t="shared" si="0"/>
        <v>12540360</v>
      </c>
    </row>
    <row r="17" spans="1:13" x14ac:dyDescent="0.25">
      <c r="A17" s="33" t="s">
        <v>23</v>
      </c>
      <c r="B17" s="34">
        <v>197600</v>
      </c>
      <c r="C17" s="34">
        <v>197600</v>
      </c>
      <c r="D17" s="34">
        <v>197600</v>
      </c>
      <c r="E17" s="34">
        <v>197600</v>
      </c>
      <c r="F17" s="21">
        <v>197600</v>
      </c>
      <c r="G17" s="21">
        <v>197600</v>
      </c>
      <c r="H17" s="21">
        <v>197600</v>
      </c>
      <c r="I17" s="21">
        <v>197600</v>
      </c>
      <c r="J17" s="21">
        <v>197600</v>
      </c>
      <c r="K17" s="21">
        <v>197600</v>
      </c>
      <c r="L17" s="23">
        <v>395200</v>
      </c>
      <c r="M17" s="25">
        <f t="shared" si="0"/>
        <v>2371200</v>
      </c>
    </row>
    <row r="18" spans="1:13" x14ac:dyDescent="0.25">
      <c r="A18" s="33" t="s">
        <v>24</v>
      </c>
      <c r="B18" s="44">
        <v>1444240</v>
      </c>
      <c r="C18" s="44">
        <v>1444240</v>
      </c>
      <c r="D18" s="44">
        <v>1444240</v>
      </c>
      <c r="E18" s="44">
        <v>1444240</v>
      </c>
      <c r="F18" s="21">
        <v>1444240</v>
      </c>
      <c r="G18" s="21">
        <v>1444240</v>
      </c>
      <c r="H18" s="21">
        <v>1444240</v>
      </c>
      <c r="I18" s="21">
        <v>1444240</v>
      </c>
      <c r="J18" s="21">
        <v>1444240</v>
      </c>
      <c r="K18" s="21">
        <v>1444240</v>
      </c>
      <c r="L18" s="23">
        <v>2888480</v>
      </c>
      <c r="M18" s="25">
        <f t="shared" si="0"/>
        <v>17330880</v>
      </c>
    </row>
    <row r="19" spans="1:13" x14ac:dyDescent="0.25">
      <c r="A19" s="33" t="s">
        <v>25</v>
      </c>
      <c r="B19" s="34">
        <v>1900090</v>
      </c>
      <c r="C19" s="34">
        <v>1900090</v>
      </c>
      <c r="D19" s="34">
        <v>1900090</v>
      </c>
      <c r="E19" s="34">
        <v>1900090</v>
      </c>
      <c r="F19" s="21">
        <v>1900090</v>
      </c>
      <c r="G19" s="21">
        <v>1900090</v>
      </c>
      <c r="H19" s="21">
        <v>1900090</v>
      </c>
      <c r="I19" s="21">
        <v>1900090</v>
      </c>
      <c r="J19" s="21">
        <v>1900090</v>
      </c>
      <c r="K19" s="21">
        <v>1900090</v>
      </c>
      <c r="L19" s="23">
        <v>3800180</v>
      </c>
      <c r="M19" s="25">
        <f t="shared" si="0"/>
        <v>22801080</v>
      </c>
    </row>
    <row r="20" spans="1:13" x14ac:dyDescent="0.25">
      <c r="A20" s="33" t="s">
        <v>26</v>
      </c>
      <c r="B20" s="34">
        <v>2445300</v>
      </c>
      <c r="C20" s="34">
        <v>2445300</v>
      </c>
      <c r="D20" s="34">
        <v>2445300</v>
      </c>
      <c r="E20" s="34">
        <v>2445300</v>
      </c>
      <c r="F20" s="21">
        <v>2445300</v>
      </c>
      <c r="G20" s="21">
        <v>2445300</v>
      </c>
      <c r="H20" s="21">
        <v>2445300</v>
      </c>
      <c r="I20" s="21">
        <v>2445300</v>
      </c>
      <c r="J20" s="21">
        <v>2445300</v>
      </c>
      <c r="K20" s="21">
        <v>2445300</v>
      </c>
      <c r="L20" s="23">
        <v>4890600</v>
      </c>
      <c r="M20" s="25">
        <f t="shared" si="0"/>
        <v>29343600</v>
      </c>
    </row>
    <row r="21" spans="1:13" x14ac:dyDescent="0.25">
      <c r="A21" s="33" t="s">
        <v>27</v>
      </c>
      <c r="B21" s="34">
        <v>2346500</v>
      </c>
      <c r="C21" s="34">
        <v>2346500</v>
      </c>
      <c r="D21" s="34">
        <v>2346500</v>
      </c>
      <c r="E21" s="34">
        <v>2346500</v>
      </c>
      <c r="F21" s="21">
        <v>2346500</v>
      </c>
      <c r="G21" s="21">
        <v>2346500</v>
      </c>
      <c r="H21" s="21">
        <v>2346500</v>
      </c>
      <c r="I21" s="21">
        <v>2346500</v>
      </c>
      <c r="J21" s="21">
        <v>2346500</v>
      </c>
      <c r="K21" s="21">
        <v>2346500</v>
      </c>
      <c r="L21" s="23">
        <v>4693000</v>
      </c>
      <c r="M21" s="25">
        <f t="shared" si="0"/>
        <v>28158000</v>
      </c>
    </row>
    <row r="22" spans="1:13" x14ac:dyDescent="0.25">
      <c r="A22" s="33" t="s">
        <v>28</v>
      </c>
      <c r="B22" s="34">
        <v>716300</v>
      </c>
      <c r="C22" s="34">
        <v>716300</v>
      </c>
      <c r="D22" s="34">
        <v>716300</v>
      </c>
      <c r="E22" s="34">
        <v>716300</v>
      </c>
      <c r="F22" s="21">
        <v>716300</v>
      </c>
      <c r="G22" s="21">
        <v>716300</v>
      </c>
      <c r="H22" s="21">
        <v>716300</v>
      </c>
      <c r="I22" s="21">
        <v>716300</v>
      </c>
      <c r="J22" s="21">
        <v>716300</v>
      </c>
      <c r="K22" s="21">
        <v>716300</v>
      </c>
      <c r="L22" s="23">
        <v>1432600</v>
      </c>
      <c r="M22" s="25">
        <f t="shared" si="0"/>
        <v>8595600</v>
      </c>
    </row>
    <row r="23" spans="1:13" x14ac:dyDescent="0.25">
      <c r="A23" s="33" t="s">
        <v>29</v>
      </c>
      <c r="B23" s="34">
        <v>2252685</v>
      </c>
      <c r="C23" s="34">
        <v>2252685</v>
      </c>
      <c r="D23" s="34">
        <v>2252685</v>
      </c>
      <c r="E23" s="34">
        <v>2252685</v>
      </c>
      <c r="F23" s="21">
        <v>2252685</v>
      </c>
      <c r="G23" s="21">
        <v>2252685</v>
      </c>
      <c r="H23" s="21">
        <v>2252685</v>
      </c>
      <c r="I23" s="21">
        <v>2252685</v>
      </c>
      <c r="J23" s="21">
        <v>2252685</v>
      </c>
      <c r="K23" s="21">
        <v>2252685</v>
      </c>
      <c r="L23" s="23">
        <v>4505370</v>
      </c>
      <c r="M23" s="25">
        <f t="shared" si="0"/>
        <v>27032220</v>
      </c>
    </row>
    <row r="24" spans="1:13" x14ac:dyDescent="0.25">
      <c r="A24" s="33" t="s">
        <v>30</v>
      </c>
      <c r="B24" s="34">
        <v>938600</v>
      </c>
      <c r="C24" s="34">
        <v>938600</v>
      </c>
      <c r="D24" s="34">
        <v>938600</v>
      </c>
      <c r="E24" s="34">
        <v>938600</v>
      </c>
      <c r="F24" s="21">
        <v>938600</v>
      </c>
      <c r="G24" s="21">
        <v>938600</v>
      </c>
      <c r="H24" s="21">
        <v>938600</v>
      </c>
      <c r="I24" s="21">
        <v>938600</v>
      </c>
      <c r="J24" s="21">
        <v>938600</v>
      </c>
      <c r="K24" s="21">
        <v>938600</v>
      </c>
      <c r="L24" s="23">
        <v>1877200</v>
      </c>
      <c r="M24" s="25">
        <f t="shared" si="0"/>
        <v>11263200</v>
      </c>
    </row>
    <row r="25" spans="1:13" x14ac:dyDescent="0.25">
      <c r="A25" s="33" t="s">
        <v>31</v>
      </c>
      <c r="B25" s="34">
        <v>2542485</v>
      </c>
      <c r="C25" s="34">
        <v>2542485</v>
      </c>
      <c r="D25" s="34">
        <v>2542485</v>
      </c>
      <c r="E25" s="34">
        <v>2542485</v>
      </c>
      <c r="F25" s="21">
        <v>2542485</v>
      </c>
      <c r="G25" s="21">
        <v>2542485</v>
      </c>
      <c r="H25" s="21">
        <v>2542485</v>
      </c>
      <c r="I25" s="21">
        <v>2542485</v>
      </c>
      <c r="J25" s="21">
        <v>2542485</v>
      </c>
      <c r="K25" s="21">
        <v>2542485</v>
      </c>
      <c r="L25" s="23">
        <v>5084970</v>
      </c>
      <c r="M25" s="25">
        <f t="shared" si="0"/>
        <v>30509820</v>
      </c>
    </row>
    <row r="26" spans="1:13" x14ac:dyDescent="0.25">
      <c r="A26" s="33" t="s">
        <v>32</v>
      </c>
      <c r="B26" s="34">
        <v>910280</v>
      </c>
      <c r="C26" s="34">
        <v>910280</v>
      </c>
      <c r="D26" s="34">
        <v>910280</v>
      </c>
      <c r="E26" s="34">
        <v>910280</v>
      </c>
      <c r="F26" s="21">
        <v>910280</v>
      </c>
      <c r="G26" s="21">
        <v>910280</v>
      </c>
      <c r="H26" s="21">
        <v>910280</v>
      </c>
      <c r="I26" s="21">
        <v>910280</v>
      </c>
      <c r="J26" s="21">
        <v>910280</v>
      </c>
      <c r="K26" s="21">
        <v>910280</v>
      </c>
      <c r="L26" s="23">
        <v>1820560</v>
      </c>
      <c r="M26" s="25">
        <f t="shared" si="0"/>
        <v>10923360</v>
      </c>
    </row>
    <row r="27" spans="1:13" x14ac:dyDescent="0.25">
      <c r="A27" s="33" t="s">
        <v>33</v>
      </c>
      <c r="B27" s="34">
        <v>1425750</v>
      </c>
      <c r="C27" s="34">
        <v>1425750</v>
      </c>
      <c r="D27" s="34">
        <v>1425750</v>
      </c>
      <c r="E27" s="34">
        <v>1425750</v>
      </c>
      <c r="F27" s="21">
        <v>1425750</v>
      </c>
      <c r="G27" s="21">
        <v>1425750</v>
      </c>
      <c r="H27" s="21">
        <v>1425750</v>
      </c>
      <c r="I27" s="21">
        <v>1425750</v>
      </c>
      <c r="J27" s="21">
        <v>1425750</v>
      </c>
      <c r="K27" s="21">
        <v>1425750</v>
      </c>
      <c r="L27" s="23">
        <v>2851500</v>
      </c>
      <c r="M27" s="25">
        <f t="shared" si="0"/>
        <v>17109000</v>
      </c>
    </row>
    <row r="28" spans="1:13" x14ac:dyDescent="0.25">
      <c r="A28" s="33" t="s">
        <v>34</v>
      </c>
      <c r="B28" s="34">
        <v>1142215</v>
      </c>
      <c r="C28" s="34">
        <v>1142215</v>
      </c>
      <c r="D28" s="34">
        <v>1142215</v>
      </c>
      <c r="E28" s="34">
        <v>1142215</v>
      </c>
      <c r="F28" s="21">
        <v>1142215</v>
      </c>
      <c r="G28" s="21">
        <v>1142215</v>
      </c>
      <c r="H28" s="21">
        <v>1142215</v>
      </c>
      <c r="I28" s="21">
        <v>1142215</v>
      </c>
      <c r="J28" s="21">
        <v>1142215</v>
      </c>
      <c r="K28" s="21">
        <v>1142215</v>
      </c>
      <c r="L28" s="23">
        <v>2284430</v>
      </c>
      <c r="M28" s="25">
        <f t="shared" si="0"/>
        <v>13706580</v>
      </c>
    </row>
    <row r="29" spans="1:13" x14ac:dyDescent="0.25">
      <c r="A29" s="33" t="s">
        <v>35</v>
      </c>
      <c r="B29" s="34">
        <v>123500</v>
      </c>
      <c r="C29" s="34">
        <v>123500</v>
      </c>
      <c r="D29" s="34">
        <v>123500</v>
      </c>
      <c r="E29" s="34">
        <v>123500</v>
      </c>
      <c r="F29" s="21">
        <v>123500</v>
      </c>
      <c r="G29" s="21">
        <v>123500</v>
      </c>
      <c r="H29" s="21">
        <v>123500</v>
      </c>
      <c r="I29" s="21">
        <v>123500</v>
      </c>
      <c r="J29" s="21">
        <v>123500</v>
      </c>
      <c r="K29" s="21">
        <v>123500</v>
      </c>
      <c r="L29" s="23">
        <v>247000</v>
      </c>
      <c r="M29" s="25">
        <f t="shared" si="0"/>
        <v>1482000</v>
      </c>
    </row>
    <row r="30" spans="1:13" x14ac:dyDescent="0.25">
      <c r="A30" s="33" t="s">
        <v>36</v>
      </c>
      <c r="B30" s="34">
        <v>744815</v>
      </c>
      <c r="C30" s="34">
        <v>744815</v>
      </c>
      <c r="D30" s="34">
        <v>744815</v>
      </c>
      <c r="E30" s="34">
        <v>744815</v>
      </c>
      <c r="F30" s="21">
        <v>744815</v>
      </c>
      <c r="G30" s="21">
        <v>744815</v>
      </c>
      <c r="H30" s="21">
        <v>744815</v>
      </c>
      <c r="I30" s="21">
        <v>744815</v>
      </c>
      <c r="J30" s="21">
        <v>744815</v>
      </c>
      <c r="K30" s="21">
        <v>744815</v>
      </c>
      <c r="L30" s="23">
        <v>1489630</v>
      </c>
      <c r="M30" s="25">
        <f t="shared" si="0"/>
        <v>8937780</v>
      </c>
    </row>
    <row r="31" spans="1:13" x14ac:dyDescent="0.25">
      <c r="A31" s="33" t="s">
        <v>37</v>
      </c>
      <c r="B31" s="34">
        <v>5178730</v>
      </c>
      <c r="C31" s="34">
        <v>5178730</v>
      </c>
      <c r="D31" s="34">
        <v>5178730</v>
      </c>
      <c r="E31" s="34">
        <v>5178730</v>
      </c>
      <c r="F31" s="21">
        <v>5178730</v>
      </c>
      <c r="G31" s="21">
        <v>5178730</v>
      </c>
      <c r="H31" s="21">
        <v>5178730</v>
      </c>
      <c r="I31" s="21">
        <v>5178730</v>
      </c>
      <c r="J31" s="21">
        <v>5178730</v>
      </c>
      <c r="K31" s="21">
        <v>5178730</v>
      </c>
      <c r="L31" s="23">
        <v>10357460</v>
      </c>
      <c r="M31" s="25">
        <f t="shared" si="0"/>
        <v>62144760</v>
      </c>
    </row>
    <row r="32" spans="1:13" ht="15.75" thickBot="1" x14ac:dyDescent="0.3">
      <c r="A32" s="45" t="s">
        <v>38</v>
      </c>
      <c r="B32" s="46" t="s">
        <v>54</v>
      </c>
      <c r="C32" s="46">
        <v>1852500</v>
      </c>
      <c r="D32" s="46">
        <v>1852500</v>
      </c>
      <c r="E32" s="46">
        <v>1852500</v>
      </c>
      <c r="F32" s="26">
        <v>1852500</v>
      </c>
      <c r="G32" s="26">
        <v>1852500</v>
      </c>
      <c r="H32" s="26">
        <v>1852500</v>
      </c>
      <c r="I32" s="26">
        <v>1852500</v>
      </c>
      <c r="J32" s="26">
        <v>1852500</v>
      </c>
      <c r="K32" s="26">
        <v>1852500</v>
      </c>
      <c r="L32" s="27">
        <v>3705000</v>
      </c>
      <c r="M32" s="28">
        <f t="shared" si="0"/>
        <v>20377500</v>
      </c>
    </row>
    <row r="33" spans="1:13" ht="15.75" thickBot="1" x14ac:dyDescent="0.3">
      <c r="A33" s="47" t="s">
        <v>40</v>
      </c>
      <c r="B33" s="48">
        <v>84351590</v>
      </c>
      <c r="C33" s="48">
        <v>84351590</v>
      </c>
      <c r="D33" s="48">
        <v>84351590</v>
      </c>
      <c r="E33" s="48">
        <v>84351590</v>
      </c>
      <c r="F33" s="29">
        <v>84351590</v>
      </c>
      <c r="G33" s="29">
        <v>84351590</v>
      </c>
      <c r="H33" s="29">
        <v>84351590</v>
      </c>
      <c r="I33" s="29">
        <v>84351590</v>
      </c>
      <c r="J33" s="29">
        <v>84351590</v>
      </c>
      <c r="K33" s="29">
        <v>84351590</v>
      </c>
      <c r="L33" s="30">
        <v>168703180</v>
      </c>
      <c r="M33" s="31">
        <f>SUM(B33:L33)</f>
        <v>1012219080</v>
      </c>
    </row>
    <row r="35" spans="1:13" x14ac:dyDescent="0.25">
      <c r="C35" s="37"/>
      <c r="H35" s="39"/>
      <c r="I35" s="39"/>
    </row>
    <row r="36" spans="1:13" x14ac:dyDescent="0.25">
      <c r="C36" s="37"/>
      <c r="F36" s="32"/>
    </row>
    <row r="38" spans="1:13" x14ac:dyDescent="0.25">
      <c r="B38" s="37"/>
    </row>
    <row r="39" spans="1:13" x14ac:dyDescent="0.25">
      <c r="H39" s="32"/>
    </row>
    <row r="40" spans="1:13" x14ac:dyDescent="0.25">
      <c r="E40" s="37"/>
      <c r="G40" s="32"/>
      <c r="H40" s="32"/>
    </row>
    <row r="41" spans="1:13" ht="15.75" thickBot="1" x14ac:dyDescent="0.3">
      <c r="H41" s="32"/>
      <c r="I41" s="32"/>
    </row>
    <row r="42" spans="1:13" ht="15.75" thickBot="1" x14ac:dyDescent="0.3">
      <c r="J42"/>
      <c r="K42" s="40"/>
    </row>
    <row r="43" spans="1:13" ht="15.75" thickBot="1" x14ac:dyDescent="0.3">
      <c r="C43" s="37"/>
      <c r="D43" s="37"/>
      <c r="E43" s="37"/>
      <c r="J43"/>
      <c r="K43" s="40"/>
    </row>
    <row r="44" spans="1:13" ht="15.75" thickBot="1" x14ac:dyDescent="0.3">
      <c r="A44" s="49"/>
      <c r="B44" s="49"/>
      <c r="C44" s="49"/>
      <c r="D44" s="49"/>
      <c r="E44" s="49"/>
      <c r="F44" s="49"/>
      <c r="G44" s="49"/>
      <c r="H44" s="49"/>
      <c r="J44"/>
      <c r="K44" s="40"/>
    </row>
    <row r="45" spans="1:13" ht="15.75" thickBot="1" x14ac:dyDescent="0.3">
      <c r="A45" s="49"/>
      <c r="B45" s="49"/>
      <c r="C45" s="49"/>
      <c r="D45" s="49"/>
      <c r="E45" s="49"/>
      <c r="F45" s="49"/>
      <c r="G45" s="49"/>
      <c r="H45" s="49"/>
      <c r="J45"/>
      <c r="K45" s="40"/>
    </row>
    <row r="46" spans="1:13" ht="15.75" thickBot="1" x14ac:dyDescent="0.3">
      <c r="A46" s="49"/>
      <c r="B46" s="49"/>
      <c r="C46" s="49"/>
      <c r="D46" s="49"/>
      <c r="E46" s="49"/>
      <c r="F46" s="49"/>
      <c r="G46" s="49"/>
      <c r="H46" s="49"/>
      <c r="J46"/>
      <c r="K46" s="40"/>
    </row>
    <row r="47" spans="1:13" ht="15.75" thickBot="1" x14ac:dyDescent="0.3">
      <c r="A47" s="49"/>
      <c r="B47" s="49"/>
      <c r="C47" s="49"/>
      <c r="D47" s="49"/>
      <c r="E47" s="49"/>
      <c r="F47" s="49"/>
      <c r="G47" s="49"/>
      <c r="H47" s="49"/>
      <c r="J47"/>
      <c r="K47" s="40"/>
    </row>
    <row r="48" spans="1:13" ht="15.75" thickBot="1" x14ac:dyDescent="0.3">
      <c r="A48" s="49"/>
      <c r="B48" s="50"/>
      <c r="C48" s="50"/>
      <c r="D48" s="50"/>
      <c r="E48" s="49"/>
      <c r="F48" s="49"/>
      <c r="G48" s="49"/>
      <c r="H48" s="49"/>
      <c r="J48"/>
      <c r="K48" s="40"/>
    </row>
    <row r="49" spans="1:11" ht="15.75" thickBot="1" x14ac:dyDescent="0.3">
      <c r="A49" s="49"/>
      <c r="B49" s="49"/>
      <c r="C49" s="49"/>
      <c r="D49" s="49"/>
      <c r="E49" s="49"/>
      <c r="F49" s="49"/>
      <c r="G49" s="49"/>
      <c r="H49" s="49"/>
      <c r="J49"/>
      <c r="K49" s="40"/>
    </row>
    <row r="50" spans="1:11" ht="15.75" thickBot="1" x14ac:dyDescent="0.3">
      <c r="A50" s="49"/>
      <c r="B50" s="49"/>
      <c r="C50" s="49"/>
      <c r="D50" s="49"/>
      <c r="E50" s="49"/>
      <c r="F50" s="49"/>
      <c r="G50" s="49"/>
      <c r="H50" s="49"/>
      <c r="J50"/>
      <c r="K50" s="40"/>
    </row>
    <row r="51" spans="1:11" ht="15.75" thickBot="1" x14ac:dyDescent="0.3">
      <c r="A51" s="49"/>
      <c r="B51" s="49"/>
      <c r="C51" s="49"/>
      <c r="D51" s="49"/>
      <c r="E51" s="49"/>
      <c r="F51" s="49"/>
      <c r="G51" s="49"/>
      <c r="H51" s="49"/>
      <c r="J51"/>
      <c r="K51" s="40"/>
    </row>
    <row r="52" spans="1:11" ht="15.75" thickBot="1" x14ac:dyDescent="0.3">
      <c r="A52" s="49"/>
      <c r="B52" s="49"/>
      <c r="C52" s="49"/>
      <c r="D52" s="49"/>
      <c r="E52" s="49"/>
      <c r="F52" s="49"/>
      <c r="G52" s="49"/>
      <c r="H52" s="49"/>
      <c r="J52"/>
      <c r="K52" s="40"/>
    </row>
    <row r="53" spans="1:11" ht="15.75" thickBot="1" x14ac:dyDescent="0.3">
      <c r="A53" s="49"/>
      <c r="B53" s="49"/>
      <c r="C53" s="49"/>
      <c r="D53" s="49"/>
      <c r="E53" s="49"/>
      <c r="F53" s="49"/>
      <c r="G53" s="49"/>
      <c r="H53" s="49"/>
      <c r="J53"/>
      <c r="K53" s="40"/>
    </row>
    <row r="54" spans="1:11" ht="15.75" thickBot="1" x14ac:dyDescent="0.3">
      <c r="A54" s="49"/>
      <c r="B54" s="49"/>
      <c r="C54" s="49"/>
      <c r="D54" s="49"/>
      <c r="E54" s="49"/>
      <c r="F54" s="49"/>
      <c r="G54" s="49"/>
      <c r="H54" s="49"/>
      <c r="J54"/>
      <c r="K54" s="40"/>
    </row>
    <row r="55" spans="1:11" ht="15.75" thickBot="1" x14ac:dyDescent="0.3">
      <c r="A55" s="49"/>
      <c r="B55" s="49"/>
      <c r="C55" s="49"/>
      <c r="D55" s="49"/>
      <c r="E55" s="49"/>
      <c r="F55" s="49"/>
      <c r="G55" s="49"/>
      <c r="H55" s="49"/>
      <c r="J55"/>
      <c r="K55" s="40"/>
    </row>
    <row r="56" spans="1:11" ht="15.75" thickBot="1" x14ac:dyDescent="0.3">
      <c r="A56" s="49"/>
      <c r="B56" s="49"/>
      <c r="C56" s="49"/>
      <c r="D56" s="49"/>
      <c r="E56" s="49"/>
      <c r="F56" s="49"/>
      <c r="G56" s="51"/>
      <c r="H56" s="49"/>
      <c r="I56" s="41"/>
      <c r="J56"/>
      <c r="K56" s="40"/>
    </row>
    <row r="57" spans="1:11" ht="15.75" thickBot="1" x14ac:dyDescent="0.3">
      <c r="A57" s="49"/>
      <c r="B57" s="49"/>
      <c r="C57" s="49"/>
      <c r="D57" s="49"/>
      <c r="E57" s="49"/>
      <c r="F57" s="49"/>
      <c r="G57" s="53"/>
      <c r="H57" s="49"/>
      <c r="I57" s="41"/>
      <c r="J57"/>
      <c r="K57" s="40"/>
    </row>
    <row r="58" spans="1:11" ht="15.75" thickBot="1" x14ac:dyDescent="0.3">
      <c r="A58" s="49"/>
      <c r="B58" s="49"/>
      <c r="C58" s="49"/>
      <c r="D58" s="49"/>
      <c r="E58" s="49"/>
      <c r="F58" s="49"/>
      <c r="G58" s="53"/>
      <c r="H58" s="49"/>
      <c r="I58" s="41"/>
      <c r="J58"/>
      <c r="K58" s="40"/>
    </row>
    <row r="59" spans="1:11" ht="15.75" thickBot="1" x14ac:dyDescent="0.3">
      <c r="A59" s="49"/>
      <c r="B59" s="49"/>
      <c r="C59" s="51"/>
      <c r="D59" s="49"/>
      <c r="E59" s="52"/>
      <c r="F59" s="49"/>
      <c r="G59" s="53"/>
      <c r="H59" s="49"/>
      <c r="I59" s="41"/>
      <c r="J59"/>
      <c r="K59" s="40"/>
    </row>
    <row r="60" spans="1:11" ht="15.75" thickBot="1" x14ac:dyDescent="0.3">
      <c r="A60" s="49"/>
      <c r="B60" s="49"/>
      <c r="C60" s="51"/>
      <c r="D60" s="49"/>
      <c r="E60" s="49"/>
      <c r="F60" s="49"/>
      <c r="G60" s="53"/>
      <c r="H60" s="49"/>
      <c r="I60" s="41"/>
      <c r="J60"/>
      <c r="K60" s="40"/>
    </row>
    <row r="61" spans="1:11" ht="15.75" thickBot="1" x14ac:dyDescent="0.3">
      <c r="A61" s="49"/>
      <c r="B61" s="49"/>
      <c r="C61" s="51"/>
      <c r="D61" s="49"/>
      <c r="E61" s="49"/>
      <c r="F61" s="49"/>
      <c r="G61" s="53"/>
      <c r="H61" s="49"/>
      <c r="I61" s="41"/>
      <c r="J61"/>
      <c r="K61" s="40"/>
    </row>
    <row r="62" spans="1:11" ht="15.75" thickBot="1" x14ac:dyDescent="0.3">
      <c r="A62" s="49"/>
      <c r="B62" s="49"/>
      <c r="C62" s="51"/>
      <c r="D62" s="49"/>
      <c r="E62" s="49"/>
      <c r="F62" s="49"/>
      <c r="G62" s="53"/>
      <c r="H62" s="49"/>
      <c r="I62" s="41"/>
      <c r="J62"/>
      <c r="K62" s="40"/>
    </row>
    <row r="63" spans="1:11" ht="15.75" thickBot="1" x14ac:dyDescent="0.3">
      <c r="A63" s="49"/>
      <c r="B63" s="49"/>
      <c r="C63" s="51"/>
      <c r="D63" s="49"/>
      <c r="E63" s="49"/>
      <c r="F63" s="49"/>
      <c r="G63" s="53"/>
      <c r="H63" s="49"/>
      <c r="I63" s="41"/>
      <c r="J63"/>
      <c r="K63" s="40"/>
    </row>
    <row r="64" spans="1:11" ht="15.75" thickBot="1" x14ac:dyDescent="0.3">
      <c r="A64" s="49"/>
      <c r="B64" s="49"/>
      <c r="C64" s="51"/>
      <c r="D64" s="49"/>
      <c r="E64" s="49"/>
      <c r="F64" s="49"/>
      <c r="G64" s="53"/>
      <c r="H64" s="49"/>
      <c r="I64" s="41"/>
      <c r="J64"/>
      <c r="K64" s="40"/>
    </row>
    <row r="65" spans="1:10" x14ac:dyDescent="0.25">
      <c r="A65" s="49"/>
      <c r="B65" s="49"/>
      <c r="C65" s="51"/>
      <c r="D65" s="49"/>
      <c r="E65" s="49"/>
      <c r="F65" s="49"/>
      <c r="G65" s="53"/>
      <c r="H65" s="49"/>
      <c r="I65" s="41"/>
      <c r="J65"/>
    </row>
    <row r="66" spans="1:10" x14ac:dyDescent="0.25">
      <c r="A66" s="49"/>
      <c r="B66" s="49"/>
      <c r="C66" s="51"/>
      <c r="D66" s="49"/>
      <c r="E66" s="49"/>
      <c r="F66" s="49"/>
      <c r="G66" s="53"/>
      <c r="H66" s="49"/>
      <c r="I66" s="41"/>
      <c r="J66"/>
    </row>
    <row r="67" spans="1:10" x14ac:dyDescent="0.25">
      <c r="A67" s="49"/>
      <c r="B67" s="49"/>
      <c r="C67" s="51"/>
      <c r="D67" s="49"/>
      <c r="E67" s="49"/>
      <c r="F67" s="49"/>
      <c r="G67" s="49"/>
      <c r="H67" s="49"/>
      <c r="J67"/>
    </row>
    <row r="68" spans="1:10" x14ac:dyDescent="0.25">
      <c r="A68" s="49"/>
      <c r="B68" s="49"/>
      <c r="C68" s="51"/>
      <c r="D68" s="49"/>
      <c r="E68" s="49"/>
      <c r="F68" s="49"/>
      <c r="G68" s="53"/>
      <c r="H68" s="49"/>
      <c r="I68" s="41"/>
      <c r="J68"/>
    </row>
    <row r="69" spans="1:10" x14ac:dyDescent="0.25">
      <c r="A69" s="49"/>
      <c r="B69" s="49"/>
      <c r="C69" s="51"/>
      <c r="D69" s="49"/>
      <c r="E69" s="49"/>
      <c r="F69" s="49"/>
      <c r="G69" s="49"/>
      <c r="H69" s="49"/>
    </row>
    <row r="70" spans="1:10" x14ac:dyDescent="0.25">
      <c r="A70" s="49"/>
      <c r="B70" s="49"/>
      <c r="C70" s="51"/>
      <c r="D70" s="49"/>
      <c r="E70" s="49"/>
      <c r="F70" s="49"/>
      <c r="G70" s="49"/>
      <c r="H70" s="49"/>
    </row>
    <row r="71" spans="1:10" x14ac:dyDescent="0.25">
      <c r="A71" s="49"/>
      <c r="B71" s="49"/>
      <c r="C71" s="51"/>
      <c r="D71" s="49"/>
      <c r="E71" s="49"/>
      <c r="F71" s="49"/>
      <c r="G71" s="49"/>
      <c r="H71" s="49"/>
    </row>
    <row r="72" spans="1:10" x14ac:dyDescent="0.25">
      <c r="A72" s="49"/>
      <c r="B72" s="49"/>
      <c r="C72" s="51"/>
      <c r="D72" s="49"/>
      <c r="E72" s="49"/>
      <c r="F72" s="49"/>
      <c r="G72" s="49"/>
      <c r="H72" s="49"/>
    </row>
    <row r="73" spans="1:10" x14ac:dyDescent="0.25">
      <c r="A73" s="49"/>
      <c r="B73" s="49"/>
      <c r="C73" s="51"/>
      <c r="D73" s="49"/>
      <c r="E73" s="49"/>
      <c r="F73" s="49"/>
      <c r="G73" s="49"/>
      <c r="H73" s="49"/>
    </row>
    <row r="74" spans="1:10" x14ac:dyDescent="0.25">
      <c r="A74" s="49"/>
      <c r="B74" s="49"/>
      <c r="C74" s="49"/>
      <c r="D74" s="49"/>
      <c r="E74" s="49"/>
      <c r="F74" s="49"/>
      <c r="G74" s="49"/>
      <c r="H74" s="49"/>
    </row>
  </sheetData>
  <autoFilter ref="A1:M3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12D9-2371-4AD1-BD52-104287EC9F66}">
  <dimension ref="A1:D33"/>
  <sheetViews>
    <sheetView tabSelected="1" workbookViewId="0">
      <selection activeCell="E11" sqref="E11"/>
    </sheetView>
  </sheetViews>
  <sheetFormatPr baseColWidth="10" defaultRowHeight="15" x14ac:dyDescent="0.25"/>
  <cols>
    <col min="1" max="1" width="22.140625" bestFit="1" customWidth="1"/>
    <col min="2" max="2" width="18.85546875" bestFit="1" customWidth="1"/>
    <col min="3" max="3" width="18.42578125" bestFit="1" customWidth="1"/>
    <col min="4" max="4" width="17.42578125" bestFit="1" customWidth="1"/>
  </cols>
  <sheetData>
    <row r="1" spans="1:4" x14ac:dyDescent="0.25">
      <c r="A1" s="62" t="s">
        <v>56</v>
      </c>
      <c r="B1" s="62" t="s">
        <v>57</v>
      </c>
      <c r="C1" s="62" t="s">
        <v>58</v>
      </c>
      <c r="D1" s="62" t="s">
        <v>59</v>
      </c>
    </row>
    <row r="2" spans="1:4" x14ac:dyDescent="0.25">
      <c r="A2" s="61" t="s">
        <v>8</v>
      </c>
      <c r="B2" s="61">
        <v>1365109.6125333367</v>
      </c>
      <c r="C2" s="61">
        <v>1365109.6125333367</v>
      </c>
      <c r="D2" s="61">
        <v>2730219.2250666735</v>
      </c>
    </row>
    <row r="3" spans="1:4" x14ac:dyDescent="0.25">
      <c r="A3" s="61" t="s">
        <v>9</v>
      </c>
      <c r="B3" s="61">
        <v>231216.2406399998</v>
      </c>
      <c r="C3" s="61">
        <v>231216.2406399998</v>
      </c>
      <c r="D3" s="61">
        <v>462432.4812799996</v>
      </c>
    </row>
    <row r="4" spans="1:4" x14ac:dyDescent="0.25">
      <c r="A4" s="61" t="s">
        <v>10</v>
      </c>
      <c r="B4" s="61">
        <v>794805.82720000122</v>
      </c>
      <c r="C4" s="61">
        <v>794805.82720000122</v>
      </c>
      <c r="D4" s="61">
        <v>1589611.6544000024</v>
      </c>
    </row>
    <row r="5" spans="1:4" x14ac:dyDescent="0.25">
      <c r="A5" s="61" t="s">
        <v>11</v>
      </c>
      <c r="B5" s="61">
        <v>274569.28575999977</v>
      </c>
      <c r="C5" s="61">
        <v>274569.28575999977</v>
      </c>
      <c r="D5" s="61">
        <v>549138.57151999953</v>
      </c>
    </row>
    <row r="6" spans="1:4" x14ac:dyDescent="0.25">
      <c r="A6" s="61" t="s">
        <v>12</v>
      </c>
      <c r="B6" s="61">
        <v>3183287.5854266398</v>
      </c>
      <c r="C6" s="61">
        <v>3183287.5854266398</v>
      </c>
      <c r="D6" s="61">
        <v>6366575.1708532795</v>
      </c>
    </row>
    <row r="7" spans="1:4" x14ac:dyDescent="0.25">
      <c r="A7" s="61" t="s">
        <v>13</v>
      </c>
      <c r="B7" s="61">
        <v>1797932.8864933352</v>
      </c>
      <c r="C7" s="61">
        <v>1797932.8864933352</v>
      </c>
      <c r="D7" s="61">
        <v>3595865.7729866705</v>
      </c>
    </row>
    <row r="8" spans="1:4" x14ac:dyDescent="0.25">
      <c r="A8" s="61" t="s">
        <v>14</v>
      </c>
      <c r="B8" s="61">
        <v>2546117.9625933226</v>
      </c>
      <c r="C8" s="61">
        <v>2546117.9625933226</v>
      </c>
      <c r="D8" s="61">
        <v>5092235.9251866452</v>
      </c>
    </row>
    <row r="9" spans="1:4" x14ac:dyDescent="0.25">
      <c r="A9" s="61" t="s">
        <v>15</v>
      </c>
      <c r="B9" s="61">
        <v>342725.92097333312</v>
      </c>
      <c r="C9" s="61">
        <v>342725.92097333312</v>
      </c>
      <c r="D9" s="61">
        <v>685451.84194666625</v>
      </c>
    </row>
    <row r="10" spans="1:4" x14ac:dyDescent="0.25">
      <c r="A10" s="61" t="s">
        <v>16</v>
      </c>
      <c r="B10" s="61">
        <v>1336454.6959866697</v>
      </c>
      <c r="C10" s="61">
        <v>1336454.6959866697</v>
      </c>
      <c r="D10" s="61">
        <v>2672909.3919733395</v>
      </c>
    </row>
    <row r="11" spans="1:4" x14ac:dyDescent="0.25">
      <c r="A11" s="61" t="s">
        <v>17</v>
      </c>
      <c r="B11" s="61">
        <v>4646623.1041999497</v>
      </c>
      <c r="C11" s="61">
        <v>4646623.1041999497</v>
      </c>
      <c r="D11" s="61">
        <v>9293246.2083998993</v>
      </c>
    </row>
    <row r="12" spans="1:4" x14ac:dyDescent="0.25">
      <c r="A12" s="61" t="s">
        <v>18</v>
      </c>
      <c r="B12" s="61">
        <v>4163732.5863466249</v>
      </c>
      <c r="C12" s="61">
        <v>4163732.5863466249</v>
      </c>
      <c r="D12" s="61">
        <v>8327465.1726932498</v>
      </c>
    </row>
    <row r="13" spans="1:4" x14ac:dyDescent="0.25">
      <c r="A13" s="61" t="s">
        <v>19</v>
      </c>
      <c r="B13" s="61">
        <v>1772017.2855000042</v>
      </c>
      <c r="C13" s="61">
        <v>1772017.2855000042</v>
      </c>
      <c r="D13" s="61">
        <v>3544034.5710000084</v>
      </c>
    </row>
    <row r="14" spans="1:4" x14ac:dyDescent="0.25">
      <c r="A14" s="61" t="s">
        <v>20</v>
      </c>
      <c r="B14" s="61">
        <v>794188.04336666781</v>
      </c>
      <c r="C14" s="61">
        <v>794188.04336666781</v>
      </c>
      <c r="D14" s="61">
        <v>1588376.0867333356</v>
      </c>
    </row>
    <row r="15" spans="1:4" x14ac:dyDescent="0.25">
      <c r="A15" s="61" t="s">
        <v>21</v>
      </c>
      <c r="B15" s="61">
        <v>6825548.0626665968</v>
      </c>
      <c r="C15" s="61">
        <v>6825548.0626665968</v>
      </c>
      <c r="D15" s="61">
        <v>13651096.125333194</v>
      </c>
    </row>
    <row r="16" spans="1:4" x14ac:dyDescent="0.25">
      <c r="A16" s="61" t="s">
        <v>22</v>
      </c>
      <c r="B16" s="61">
        <v>553944.18874666654</v>
      </c>
      <c r="C16" s="61">
        <v>553944.18874666654</v>
      </c>
      <c r="D16" s="61">
        <v>1107888.3774933331</v>
      </c>
    </row>
    <row r="17" spans="1:4" x14ac:dyDescent="0.25">
      <c r="A17" s="61" t="s">
        <v>23</v>
      </c>
      <c r="B17" s="61">
        <v>105008.43173333333</v>
      </c>
      <c r="C17" s="61">
        <v>105008.43173333333</v>
      </c>
      <c r="D17" s="61">
        <v>210016.86346666666</v>
      </c>
    </row>
    <row r="18" spans="1:4" x14ac:dyDescent="0.25">
      <c r="A18" s="61" t="s">
        <v>24</v>
      </c>
      <c r="B18" s="61">
        <v>756258.39930666774</v>
      </c>
      <c r="C18" s="61">
        <v>756258.39930666774</v>
      </c>
      <c r="D18" s="61">
        <v>1512516.7986133355</v>
      </c>
    </row>
    <row r="19" spans="1:4" x14ac:dyDescent="0.25">
      <c r="A19" s="61" t="s">
        <v>25</v>
      </c>
      <c r="B19" s="61">
        <v>1005529.8679066688</v>
      </c>
      <c r="C19" s="61">
        <v>1005529.8679066688</v>
      </c>
      <c r="D19" s="61">
        <v>2011059.7358133376</v>
      </c>
    </row>
    <row r="20" spans="1:4" x14ac:dyDescent="0.25">
      <c r="A20" s="61" t="s">
        <v>26</v>
      </c>
      <c r="B20" s="61">
        <v>1299479.3427000034</v>
      </c>
      <c r="C20" s="61">
        <v>1299479.3427000034</v>
      </c>
      <c r="D20" s="61">
        <v>2598958.6854000068</v>
      </c>
    </row>
    <row r="21" spans="1:4" x14ac:dyDescent="0.25">
      <c r="A21" s="61" t="s">
        <v>27</v>
      </c>
      <c r="B21" s="61">
        <v>1246975.1268333367</v>
      </c>
      <c r="C21" s="61">
        <v>1246975.1268333367</v>
      </c>
      <c r="D21" s="61">
        <v>2493950.2536666733</v>
      </c>
    </row>
    <row r="22" spans="1:4" x14ac:dyDescent="0.25">
      <c r="A22" s="61" t="s">
        <v>28</v>
      </c>
      <c r="B22" s="61">
        <v>380655.56503333303</v>
      </c>
      <c r="C22" s="61">
        <v>380655.56503333303</v>
      </c>
      <c r="D22" s="61">
        <v>761311.13006666605</v>
      </c>
    </row>
    <row r="23" spans="1:4" x14ac:dyDescent="0.25">
      <c r="A23" s="61" t="s">
        <v>29</v>
      </c>
      <c r="B23" s="61">
        <v>1141630.1881600018</v>
      </c>
      <c r="C23" s="61">
        <v>1141630.1881600018</v>
      </c>
      <c r="D23" s="61">
        <v>2283260.3763200035</v>
      </c>
    </row>
    <row r="24" spans="1:4" x14ac:dyDescent="0.25">
      <c r="A24" s="61" t="s">
        <v>30</v>
      </c>
      <c r="B24" s="61">
        <v>498790.05073333299</v>
      </c>
      <c r="C24" s="61">
        <v>498790.05073333299</v>
      </c>
      <c r="D24" s="61">
        <v>997580.10146666598</v>
      </c>
    </row>
    <row r="25" spans="1:4" x14ac:dyDescent="0.25">
      <c r="A25" s="61" t="s">
        <v>31</v>
      </c>
      <c r="B25" s="61">
        <v>1337779.6570600031</v>
      </c>
      <c r="C25" s="61">
        <v>1337779.6570600031</v>
      </c>
      <c r="D25" s="61">
        <v>2675559.3141200063</v>
      </c>
    </row>
    <row r="26" spans="1:4" x14ac:dyDescent="0.25">
      <c r="A26" s="61" t="s">
        <v>32</v>
      </c>
      <c r="B26" s="61">
        <v>475311.42171333334</v>
      </c>
      <c r="C26" s="61">
        <v>475311.42171333334</v>
      </c>
      <c r="D26" s="61">
        <v>950622.84342666669</v>
      </c>
    </row>
    <row r="27" spans="1:4" x14ac:dyDescent="0.25">
      <c r="A27" s="61" t="s">
        <v>33</v>
      </c>
      <c r="B27" s="61">
        <v>722550.75200000103</v>
      </c>
      <c r="C27" s="61">
        <v>722550.75200000103</v>
      </c>
      <c r="D27" s="61">
        <v>1445101.5040000021</v>
      </c>
    </row>
    <row r="28" spans="1:4" x14ac:dyDescent="0.25">
      <c r="A28" s="61" t="s">
        <v>34</v>
      </c>
      <c r="B28" s="61">
        <v>592244.50310666696</v>
      </c>
      <c r="C28" s="61">
        <v>592244.50310666696</v>
      </c>
      <c r="D28" s="61">
        <v>1184489.0062133339</v>
      </c>
    </row>
    <row r="29" spans="1:4" x14ac:dyDescent="0.25">
      <c r="A29" s="61" t="s">
        <v>35</v>
      </c>
      <c r="B29" s="61">
        <v>65630.269833333339</v>
      </c>
      <c r="C29" s="61">
        <v>65630.269833333339</v>
      </c>
      <c r="D29" s="61">
        <v>131260.53966666668</v>
      </c>
    </row>
    <row r="30" spans="1:4" x14ac:dyDescent="0.25">
      <c r="A30" s="61" t="s">
        <v>36</v>
      </c>
      <c r="B30" s="61">
        <v>395106.58007333305</v>
      </c>
      <c r="C30" s="61">
        <v>395106.58007333305</v>
      </c>
      <c r="D30" s="61">
        <v>790213.16014666611</v>
      </c>
    </row>
    <row r="31" spans="1:4" x14ac:dyDescent="0.25">
      <c r="A31" s="61" t="s">
        <v>37</v>
      </c>
      <c r="B31" s="61">
        <v>2694479.4394466528</v>
      </c>
      <c r="C31" s="61">
        <v>2694479.4394466528</v>
      </c>
      <c r="D31" s="61">
        <v>5388958.8788933055</v>
      </c>
    </row>
    <row r="32" spans="1:4" x14ac:dyDescent="0.25">
      <c r="A32" s="61" t="s">
        <v>38</v>
      </c>
      <c r="B32" s="61">
        <v>984454.04750000208</v>
      </c>
      <c r="C32" s="61">
        <v>984454.04750000208</v>
      </c>
      <c r="D32" s="61">
        <v>1968908.0950000042</v>
      </c>
    </row>
    <row r="33" spans="1:4" x14ac:dyDescent="0.25">
      <c r="A33" s="61"/>
      <c r="B33" s="61">
        <v>44330156.931573145</v>
      </c>
      <c r="C33" s="61">
        <v>44330156.931573145</v>
      </c>
      <c r="D33" s="61">
        <v>88660313.86314629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CIFRAS GLOBALES</vt:lpstr>
      <vt:lpstr>CALENDARIO</vt:lpstr>
      <vt:lpstr>IS</vt:lpstr>
    </vt:vector>
  </TitlesOfParts>
  <Company>SEP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LauTiti</cp:lastModifiedBy>
  <cp:lastPrinted>2020-04-06T20:53:22Z</cp:lastPrinted>
  <dcterms:created xsi:type="dcterms:W3CDTF">2020-01-23T18:17:10Z</dcterms:created>
  <dcterms:modified xsi:type="dcterms:W3CDTF">2020-09-17T21:18:52Z</dcterms:modified>
</cp:coreProperties>
</file>